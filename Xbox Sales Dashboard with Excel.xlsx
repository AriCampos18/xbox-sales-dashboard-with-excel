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rian\Downloads\"/>
    </mc:Choice>
  </mc:AlternateContent>
  <xr:revisionPtr revIDLastSave="0" documentId="13_ncr:1_{31958F65-90F0-4B00-9F86-7C984E2E3DBE}" xr6:coauthVersionLast="47" xr6:coauthVersionMax="47" xr10:uidLastSave="{00000000-0000-0000-0000-000000000000}"/>
  <bookViews>
    <workbookView xWindow="-120" yWindow="-120" windowWidth="20730" windowHeight="11040" tabRatio="310" firstSheet="1" activeTab="2" xr2:uid="{28DD5B76-0634-4F87-BE60-8BFA7EF2E23B}"/>
  </bookViews>
  <sheets>
    <sheet name="A̳ssets" sheetId="1" state="hidden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D31" i="3"/>
</calcChain>
</file>

<file path=xl/sharedStrings.xml><?xml version="1.0" encoding="utf-8"?>
<sst xmlns="http://schemas.openxmlformats.org/spreadsheetml/2006/main" count="2021" uniqueCount="325">
  <si>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</si>
  <si>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</si>
  <si>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</si>
  <si>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</si>
  <si>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</si>
  <si>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</si>
  <si>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</si>
  <si>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</si>
  <si>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</si>
  <si>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</si>
  <si>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</si>
  <si>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</si>
  <si>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</si>
  <si>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</si>
  <si>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</si>
  <si>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</si>
  <si>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</si>
  <si>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</si>
  <si>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</si>
  <si>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</si>
  <si>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</si>
  <si>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</si>
  <si>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</si>
  <si>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</si>
  <si>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</si>
  <si>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</si>
  <si>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</si>
  <si>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</si>
  <si>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</si>
  <si>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</si>
  <si>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</si>
  <si>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</si>
  <si>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</si>
  <si>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</si>
  <si>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</si>
  <si>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</si>
  <si>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</si>
  <si>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</si>
  <si>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</si>
  <si>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</si>
  <si>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</si>
  <si>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</si>
  <si>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</si>
  <si>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</si>
  <si>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</si>
  <si>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</si>
  <si>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</si>
  <si>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</si>
  <si>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</si>
  <si>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</si>
  <si>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</si>
  <si>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</si>
  <si>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</si>
  <si>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</si>
  <si>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</si>
  <si>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</si>
  <si>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</si>
  <si>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</si>
  <si>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</si>
  <si>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</si>
  <si>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</si>
  <si>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</si>
  <si>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</si>
  <si>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</si>
  <si>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</si>
  <si>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</si>
  <si>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</si>
  <si>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</si>
  <si>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</si>
  <si>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</si>
  <si>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</si>
  <si>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</si>
  <si>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</si>
  <si>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</si>
  <si>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</si>
  <si>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</si>
  <si>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</si>
  <si>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</si>
  <si>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</si>
  <si>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</si>
  <si>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</si>
  <si>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</si>
  <si>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</si>
  <si>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</si>
  <si>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</si>
  <si>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</si>
  <si>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</si>
  <si>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</si>
  <si>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</si>
  <si>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</si>
  <si>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</si>
  <si>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</si>
  <si>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</si>
  <si>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</si>
  <si>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</si>
  <si>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</si>
  <si>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</si>
  <si>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</si>
  <si>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</si>
  <si>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</si>
  <si>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</si>
  <si>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</si>
  <si>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</si>
  <si>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</si>
  <si>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</si>
  <si>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</si>
  <si>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</si>
  <si>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</si>
  <si>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</si>
  <si>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</si>
  <si>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</si>
  <si>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</si>
  <si>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</si>
  <si>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</si>
  <si>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</si>
  <si>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</si>
  <si>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</si>
  <si>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</si>
  <si>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</si>
  <si>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</si>
  <si>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</si>
  <si>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</si>
  <si>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</si>
  <si>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</si>
  <si>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</si>
  <si>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</si>
  <si>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</si>
  <si>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</si>
  <si>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</si>
  <si>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</si>
  <si>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</si>
  <si>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</si>
  <si>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</si>
  <si>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</si>
  <si>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</si>
  <si>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</si>
  <si>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</si>
  <si>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</si>
  <si>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</si>
  <si>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</si>
  <si>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</si>
  <si>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</si>
  <si>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</si>
  <si>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</si>
  <si>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</si>
  <si>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</si>
  <si>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</si>
  <si>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</si>
  <si>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</si>
  <si>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</si>
  <si>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</si>
  <si>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</si>
  <si>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</si>
  <si>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</si>
  <si>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</si>
  <si>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</si>
  <si>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</si>
  <si>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</si>
  <si>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</si>
  <si>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</si>
  <si>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</si>
  <si>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</si>
  <si>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</si>
  <si>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</si>
  <si>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</si>
  <si>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</si>
  <si>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</si>
  <si>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</si>
  <si>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</si>
  <si>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</si>
  <si>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</si>
  <si>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</si>
  <si>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</si>
  <si>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</si>
  <si>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</si>
  <si>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</si>
  <si>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</si>
  <si>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</si>
  <si>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</si>
  <si>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</si>
  <si>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</si>
  <si>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</si>
  <si>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</si>
  <si>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</si>
  <si>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</si>
  <si>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</si>
  <si>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</si>
  <si>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</si>
  <si>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</si>
  <si>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</si>
  <si>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</si>
  <si>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</si>
  <si>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</si>
  <si>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</si>
  <si>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</si>
  <si>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</si>
  <si>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</si>
  <si>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</si>
  <si>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</si>
  <si>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</si>
  <si>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</si>
  <si>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</si>
  <si>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</si>
  <si>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</si>
  <si>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</si>
  <si>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</si>
  <si>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</si>
  <si>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</si>
  <si>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</si>
  <si>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</si>
  <si>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</si>
  <si>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</si>
  <si>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</si>
  <si>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</si>
  <si>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</si>
  <si>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</si>
  <si>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</si>
  <si>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</si>
  <si>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</si>
  <si>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</si>
  <si>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</si>
  <si>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</si>
  <si>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</si>
  <si>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</si>
  <si>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</si>
  <si>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</si>
  <si>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</si>
  <si>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</si>
  <si>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</si>
  <si>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</si>
  <si>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</si>
  <si>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</si>
  <si>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</si>
  <si>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</si>
  <si>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</si>
  <si>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</si>
  <si>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</si>
  <si>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</si>
  <si>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</si>
  <si>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</si>
  <si>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</si>
  <si>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</si>
  <si>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</si>
  <si>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</si>
  <si>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</si>
  <si>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</si>
  <si>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</si>
  <si>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</si>
  <si>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</si>
  <si>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</si>
  <si>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</si>
  <si>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</si>
  <si>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</si>
  <si>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</si>
  <si>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</si>
  <si>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</si>
  <si>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</si>
  <si>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</si>
  <si>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</si>
  <si>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</si>
  <si>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</si>
  <si>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</si>
  <si>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</si>
  <si>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</si>
  <si>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</si>
  <si>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</si>
  <si>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</si>
  <si>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</si>
  <si>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</si>
  <si>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</si>
  <si>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</si>
  <si>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</si>
  <si>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</si>
  <si>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</si>
  <si>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</si>
  <si>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</si>
  <si>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</si>
  <si>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</si>
  <si>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</si>
  <si>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</si>
  <si>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</si>
  <si>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</si>
  <si>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</si>
  <si>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</si>
  <si>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</si>
  <si>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</si>
  <si>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</si>
  <si>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</si>
  <si>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</si>
  <si>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</si>
  <si>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</si>
  <si>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</si>
  <si>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</si>
  <si>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</si>
  <si>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</si>
  <si>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</si>
  <si>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</si>
  <si>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</si>
  <si>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</si>
  <si>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</si>
  <si>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</si>
  <si>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</si>
  <si>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</si>
  <si>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</si>
  <si>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</si>
  <si>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</si>
  <si>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</si>
  <si>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</si>
  <si>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</si>
  <si>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</si>
  <si>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</si>
  <si>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</si>
  <si>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</si>
  <si>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</si>
  <si>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</si>
  <si>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</si>
  <si>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SUBSCRIPTIONS SALES</t>
  </si>
  <si>
    <t>Soma de EA Play Season Pass</t>
  </si>
  <si>
    <t>Soma de Minecraft Season Pass Price</t>
  </si>
  <si>
    <t>Calculation period: 01/01/2024 - 31/12/2024 | Update date: 18/10/2026</t>
  </si>
  <si>
    <t>1. What is the total revenue from the sale of annual plans (including all aggregated subscriptions)?</t>
  </si>
  <si>
    <t>2. What is the total sales revenue from annual plans, broken down by auto-renewal versus non-auto-renewal?</t>
  </si>
  <si>
    <t>3. Total de vendas de assinaturas do EA Play</t>
  </si>
  <si>
    <t>4. Total de Assinaturas do Minecraft Season Pass</t>
  </si>
  <si>
    <t>Business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</si>
</sst>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rgb="FF22C55E"/>
      <name val="Aptos Narrow"/>
      <family val="2"/>
      <scheme val="minor"/>
    </font>
    <font>
      <b/>
      <sz val="12"/>
      <color theme="1" tint="0.34998626667073579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2" xfId="0" applyBorder="1"/>
    <xf numFmtId="44" fontId="4" fillId="0" borderId="0" xfId="2" applyFont="1"/>
    <xf numFmtId="0" fontId="5" fillId="0" borderId="2" xfId="1" applyFont="1" applyFill="1" applyBorder="1" applyAlignment="1">
      <alignment horizontal="left" vertical="center"/>
    </xf>
    <xf numFmtId="0" fontId="6" fillId="7" borderId="0" xfId="0" applyFont="1" applyFill="1" applyAlignment="1">
      <alignment horizontal="left"/>
    </xf>
    <xf numFmtId="0" fontId="0" fillId="0" borderId="3" xfId="0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20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CB2676C0-6AA5-47FC-A268-E43FE21E198E}">
      <tableStyleElement type="wholeTable" dxfId="19"/>
      <tableStyleElement type="headerRow" dxfId="18"/>
    </tableStyle>
  </tableStyles>
  <colors>
    <mruColors>
      <color rgb="FF9BC848"/>
      <color rgb="FF22C55E"/>
      <color rgb="FFE8E6E9"/>
      <color rgb="FF5BF6A8"/>
      <color rgb="FF2AE6B1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 Sales Dashboard with Excel.xlsx]C̳álculos!tbl_annual_total</c:name>
    <c:fmtId val="4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F-40BC-9EAA-0269B9837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1752400"/>
        <c:axId val="1071750960"/>
      </c:barChart>
      <c:catAx>
        <c:axId val="1071752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1750960"/>
        <c:crosses val="autoZero"/>
        <c:auto val="1"/>
        <c:lblAlgn val="ctr"/>
        <c:lblOffset val="100"/>
        <c:noMultiLvlLbl val="0"/>
      </c:catAx>
      <c:valAx>
        <c:axId val="1071750960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7175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2263587</xdr:colOff>
      <xdr:row>2</xdr:row>
      <xdr:rowOff>190500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2EBDF7-BF97-48F1-9028-D9D0569F8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63587" cy="885265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4</xdr:row>
      <xdr:rowOff>146376</xdr:rowOff>
    </xdr:from>
    <xdr:to>
      <xdr:col>0</xdr:col>
      <xdr:colOff>2226468</xdr:colOff>
      <xdr:row>16</xdr:row>
      <xdr:rowOff>177193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2012A2C-0991-436A-BB44-4F49A671A9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56611"/>
              <a:ext cx="2226468" cy="25857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318247</xdr:colOff>
      <xdr:row>5</xdr:row>
      <xdr:rowOff>40620</xdr:rowOff>
    </xdr:from>
    <xdr:to>
      <xdr:col>10</xdr:col>
      <xdr:colOff>190501</xdr:colOff>
      <xdr:row>12</xdr:row>
      <xdr:rowOff>27173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3A8141F9-0727-3A16-B4DF-54E2F8ADA991}"/>
            </a:ext>
          </a:extLst>
        </xdr:cNvPr>
        <xdr:cNvGrpSpPr/>
      </xdr:nvGrpSpPr>
      <xdr:grpSpPr>
        <a:xfrm>
          <a:off x="2581835" y="1553414"/>
          <a:ext cx="5901019" cy="1476935"/>
          <a:chOff x="2633382" y="1329298"/>
          <a:chExt cx="5311590" cy="1476935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A8F2E2AD-7526-9DF9-3CF2-EEDBA2A45784}"/>
              </a:ext>
            </a:extLst>
          </xdr:cNvPr>
          <xdr:cNvSpPr/>
        </xdr:nvSpPr>
        <xdr:spPr>
          <a:xfrm>
            <a:off x="2644588" y="1329298"/>
            <a:ext cx="5300384" cy="136291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2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6CB852BA-BDDC-4E16-A7EB-69BE107E05D3}"/>
              </a:ext>
            </a:extLst>
          </xdr:cNvPr>
          <xdr:cNvSpPr/>
        </xdr:nvSpPr>
        <xdr:spPr>
          <a:xfrm>
            <a:off x="4336677" y="1779914"/>
            <a:ext cx="3511644" cy="831336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3C610E5-A862-41A8-A4D1-5EE944C97522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40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98FEC790-32DB-454D-BD6A-7BFFDE2E00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34450" y="1584932"/>
            <a:ext cx="1214998" cy="1221301"/>
          </a:xfrm>
          <a:prstGeom prst="rect">
            <a:avLst/>
          </a:prstGeom>
          <a:noFill/>
          <a:ln>
            <a:noFill/>
          </a:ln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9AC62AD4-91CB-FBE0-7BE6-0D370364A19A}"/>
              </a:ext>
            </a:extLst>
          </xdr:cNvPr>
          <xdr:cNvSpPr/>
        </xdr:nvSpPr>
        <xdr:spPr>
          <a:xfrm>
            <a:off x="2633382" y="1333500"/>
            <a:ext cx="5311589" cy="392206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 SUBSCRIPTIONS EA PLAY SEASON PASS</a:t>
            </a:r>
          </a:p>
        </xdr:txBody>
      </xdr:sp>
    </xdr:grpSp>
    <xdr:clientData/>
  </xdr:twoCellAnchor>
  <xdr:twoCellAnchor>
    <xdr:from>
      <xdr:col>10</xdr:col>
      <xdr:colOff>410135</xdr:colOff>
      <xdr:row>5</xdr:row>
      <xdr:rowOff>51547</xdr:rowOff>
    </xdr:from>
    <xdr:to>
      <xdr:col>19</xdr:col>
      <xdr:colOff>443754</xdr:colOff>
      <xdr:row>11</xdr:row>
      <xdr:rowOff>121584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942B669B-B2D4-34E0-D601-1CB94F6551F8}"/>
            </a:ext>
          </a:extLst>
        </xdr:cNvPr>
        <xdr:cNvGrpSpPr/>
      </xdr:nvGrpSpPr>
      <xdr:grpSpPr>
        <a:xfrm>
          <a:off x="8702488" y="1564341"/>
          <a:ext cx="5311590" cy="1369919"/>
          <a:chOff x="8265458" y="1329018"/>
          <a:chExt cx="5311589" cy="1369919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E99D0226-7DFF-4197-87CB-59BA3321F282}"/>
              </a:ext>
            </a:extLst>
          </xdr:cNvPr>
          <xdr:cNvGrpSpPr/>
        </xdr:nvGrpSpPr>
        <xdr:grpSpPr>
          <a:xfrm>
            <a:off x="8265458" y="1329018"/>
            <a:ext cx="5311589" cy="1369919"/>
            <a:chOff x="2633382" y="1333500"/>
            <a:chExt cx="5311589" cy="1369919"/>
          </a:xfrm>
        </xdr:grpSpPr>
        <xdr:sp macro="" textlink="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A0677358-BEEC-2BCD-A761-654699B6D37A}"/>
                </a:ext>
              </a:extLst>
            </xdr:cNvPr>
            <xdr:cNvSpPr/>
          </xdr:nvSpPr>
          <xdr:spPr>
            <a:xfrm>
              <a:off x="2633382" y="1340504"/>
              <a:ext cx="5300384" cy="136291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200"/>
            </a:p>
          </xdr:txBody>
        </xdr:sp>
        <xdr:sp macro="" textlink="C̳álculos!D31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2402D63D-763E-E834-9ECE-FD57252BA3CB}"/>
                </a:ext>
              </a:extLst>
            </xdr:cNvPr>
            <xdr:cNvSpPr/>
          </xdr:nvSpPr>
          <xdr:spPr>
            <a:xfrm>
              <a:off x="4336677" y="1779914"/>
              <a:ext cx="3511644" cy="831336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3B23A32-33D5-48D9-ABF3-54CD47A67438}" type="TxLink">
                <a:rPr lang="en-US" sz="40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40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DF9C2A18-4181-A66D-92A3-92FF089713A5}"/>
                </a:ext>
              </a:extLst>
            </xdr:cNvPr>
            <xdr:cNvSpPr/>
          </xdr:nvSpPr>
          <xdr:spPr>
            <a:xfrm>
              <a:off x="2633382" y="1333500"/>
              <a:ext cx="5311589" cy="392206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/>
                <a:t>TOTAL SUBSCRIPTIONS MINECRAFT SEASON PASS</a:t>
              </a:r>
            </a:p>
          </xdr:txBody>
        </xdr:sp>
      </xdr:grp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20E58CEE-8BB2-426E-B145-A0FDFC5A7E43}"/>
              </a:ext>
            </a:extLst>
          </xdr:cNvPr>
          <xdr:cNvGrpSpPr/>
        </xdr:nvGrpSpPr>
        <xdr:grpSpPr>
          <a:xfrm>
            <a:off x="8792137" y="1882590"/>
            <a:ext cx="1046630" cy="571780"/>
            <a:chOff x="3495676" y="5474687"/>
            <a:chExt cx="1254082" cy="629428"/>
          </a:xfrm>
        </xdr:grpSpPr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E992A2E8-0A62-CEFC-3E76-E56422B49F0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884491" y="5474687"/>
              <a:ext cx="449597" cy="493385"/>
            </a:xfrm>
            <a:prstGeom prst="rect">
              <a:avLst/>
            </a:prstGeom>
          </xdr:spPr>
        </xdr:pic>
        <xdr:pic>
          <xdr:nvPicPr>
            <xdr:cNvPr id="20" name="Gráfico 19">
              <a:extLst>
                <a:ext uri="{FF2B5EF4-FFF2-40B4-BE49-F238E27FC236}">
                  <a16:creationId xmlns:a16="http://schemas.microsoft.com/office/drawing/2014/main" id="{D89CB512-FDE0-FA1C-44E9-4B67733FDB3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6" y="5895937"/>
              <a:ext cx="1254082" cy="208178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326090</xdr:colOff>
      <xdr:row>12</xdr:row>
      <xdr:rowOff>107858</xdr:rowOff>
    </xdr:from>
    <xdr:to>
      <xdr:col>20</xdr:col>
      <xdr:colOff>53227</xdr:colOff>
      <xdr:row>33</xdr:row>
      <xdr:rowOff>11206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3D853125-FBA2-F396-DD7B-D184EA1612A8}"/>
            </a:ext>
          </a:extLst>
        </xdr:cNvPr>
        <xdr:cNvGrpSpPr/>
      </xdr:nvGrpSpPr>
      <xdr:grpSpPr>
        <a:xfrm>
          <a:off x="2589678" y="3111034"/>
          <a:ext cx="11504520" cy="3903848"/>
          <a:chOff x="2610970" y="2853299"/>
          <a:chExt cx="10981765" cy="3903848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93BEC7A7-8C81-BA29-3A0C-5D07FDBECA29}"/>
              </a:ext>
            </a:extLst>
          </xdr:cNvPr>
          <xdr:cNvGrpSpPr/>
        </xdr:nvGrpSpPr>
        <xdr:grpSpPr>
          <a:xfrm>
            <a:off x="2620775" y="2906527"/>
            <a:ext cx="10949549" cy="3850620"/>
            <a:chOff x="2988469" y="1702594"/>
            <a:chExt cx="5965031" cy="333375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7C8B99F4-026E-21A0-7FCD-97183022B71B}"/>
                </a:ext>
              </a:extLst>
            </xdr:cNvPr>
            <xdr:cNvSpPr/>
          </xdr:nvSpPr>
          <xdr:spPr>
            <a:xfrm>
              <a:off x="2988469" y="1702594"/>
              <a:ext cx="5965031" cy="3333750"/>
            </a:xfrm>
            <a:prstGeom prst="roundRect">
              <a:avLst>
                <a:gd name="adj" fmla="val 690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D070294D-B5A5-49BD-AB5A-3C12C7A0AAC5}"/>
                </a:ext>
              </a:extLst>
            </xdr:cNvPr>
            <xdr:cNvGraphicFramePr>
              <a:graphicFrameLocks/>
            </xdr:cNvGraphicFramePr>
          </xdr:nvGraphicFramePr>
          <xdr:xfrm>
            <a:off x="3189418" y="2106426"/>
            <a:ext cx="5621206" cy="279894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B8A6215C-A4A5-4B33-9FA6-436A82DF4CB5}"/>
              </a:ext>
            </a:extLst>
          </xdr:cNvPr>
          <xdr:cNvSpPr/>
        </xdr:nvSpPr>
        <xdr:spPr>
          <a:xfrm>
            <a:off x="2610970" y="2853299"/>
            <a:ext cx="10981765" cy="392206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/>
              <a:t>TOTAL SUBSCRIPTIONS XBOX</a:t>
            </a:r>
            <a:r>
              <a:rPr lang="pt-BR" sz="1600" b="1" baseline="0"/>
              <a:t> GAME PASS</a:t>
            </a:r>
            <a:endParaRPr lang="pt-BR" sz="1600" b="1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iane Lima" refreshedDate="46312.947546296295" createdVersion="8" refreshedVersion="8" minRefreshableVersion="3" recordCount="295" xr:uid="{DDFCAAD1-2C15-4422-A90C-CD87F37C395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74887808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x v="0"/>
    <x v="0"/>
    <x v="0"/>
    <x v="0"/>
    <x v="0"/>
    <n v="20"/>
    <n v="5"/>
    <n v="60"/>
  </r>
  <r>
    <n v="3232"/>
    <s v="Maria Oliveira"/>
    <x v="1"/>
    <d v="2024-01-15T00:00:00"/>
    <x v="1"/>
    <x v="1"/>
    <x v="1"/>
    <x v="1"/>
    <x v="1"/>
    <x v="1"/>
    <n v="0"/>
    <n v="0"/>
    <n v="5"/>
  </r>
  <r>
    <n v="3233"/>
    <s v="Lucas Fernandes"/>
    <x v="2"/>
    <d v="2024-02-10T00:00:00"/>
    <x v="0"/>
    <x v="2"/>
    <x v="2"/>
    <x v="1"/>
    <x v="1"/>
    <x v="0"/>
    <n v="20"/>
    <n v="10"/>
    <n v="20"/>
  </r>
  <r>
    <n v="3234"/>
    <s v="Ana Souza"/>
    <x v="0"/>
    <d v="2024-02-20T00:00:00"/>
    <x v="1"/>
    <x v="0"/>
    <x v="0"/>
    <x v="0"/>
    <x v="0"/>
    <x v="0"/>
    <n v="20"/>
    <n v="3"/>
    <n v="62"/>
  </r>
  <r>
    <n v="3235"/>
    <s v="Pedro Gonçalves"/>
    <x v="1"/>
    <d v="2024-03-05T00:00:00"/>
    <x v="0"/>
    <x v="1"/>
    <x v="0"/>
    <x v="1"/>
    <x v="1"/>
    <x v="1"/>
    <n v="0"/>
    <n v="1"/>
    <n v="4"/>
  </r>
  <r>
    <n v="3236"/>
    <s v="Felipe Costa"/>
    <x v="2"/>
    <d v="2024-03-02T00:00:00"/>
    <x v="1"/>
    <x v="2"/>
    <x v="0"/>
    <x v="1"/>
    <x v="1"/>
    <x v="0"/>
    <n v="20"/>
    <n v="2"/>
    <n v="28"/>
  </r>
  <r>
    <n v="3237"/>
    <s v="Camila Ribeiro"/>
    <x v="0"/>
    <d v="2024-03-03T00:00:00"/>
    <x v="0"/>
    <x v="0"/>
    <x v="2"/>
    <x v="0"/>
    <x v="0"/>
    <x v="0"/>
    <n v="20"/>
    <n v="10"/>
    <n v="55"/>
  </r>
  <r>
    <n v="3238"/>
    <s v="André Mendes"/>
    <x v="1"/>
    <d v="2024-03-04T00:00:00"/>
    <x v="0"/>
    <x v="1"/>
    <x v="1"/>
    <x v="1"/>
    <x v="1"/>
    <x v="1"/>
    <n v="0"/>
    <n v="0"/>
    <n v="5"/>
  </r>
  <r>
    <n v="3239"/>
    <s v="Sofia Almeida"/>
    <x v="0"/>
    <d v="2024-03-05T00:00:00"/>
    <x v="1"/>
    <x v="0"/>
    <x v="0"/>
    <x v="0"/>
    <x v="0"/>
    <x v="0"/>
    <n v="20"/>
    <n v="5"/>
    <n v="60"/>
  </r>
  <r>
    <n v="3240"/>
    <s v="Bruno Martins"/>
    <x v="2"/>
    <d v="2024-03-06T00:00:00"/>
    <x v="0"/>
    <x v="2"/>
    <x v="2"/>
    <x v="1"/>
    <x v="1"/>
    <x v="0"/>
    <n v="20"/>
    <n v="15"/>
    <n v="15"/>
  </r>
  <r>
    <n v="3241"/>
    <s v="Rita Castro"/>
    <x v="1"/>
    <d v="2024-03-07T00:00:00"/>
    <x v="1"/>
    <x v="1"/>
    <x v="0"/>
    <x v="1"/>
    <x v="1"/>
    <x v="1"/>
    <n v="0"/>
    <n v="1"/>
    <n v="4"/>
  </r>
  <r>
    <n v="3242"/>
    <s v="Marco Túlio"/>
    <x v="0"/>
    <d v="2024-03-08T00:00:00"/>
    <x v="0"/>
    <x v="0"/>
    <x v="1"/>
    <x v="0"/>
    <x v="0"/>
    <x v="0"/>
    <n v="20"/>
    <n v="20"/>
    <n v="45"/>
  </r>
  <r>
    <n v="3243"/>
    <s v="Lívia Silveira"/>
    <x v="2"/>
    <d v="2024-03-09T00:00:00"/>
    <x v="1"/>
    <x v="2"/>
    <x v="0"/>
    <x v="1"/>
    <x v="1"/>
    <x v="0"/>
    <n v="20"/>
    <n v="10"/>
    <n v="20"/>
  </r>
  <r>
    <n v="3244"/>
    <s v="Diogo Sousa"/>
    <x v="1"/>
    <d v="2024-03-10T00:00:00"/>
    <x v="0"/>
    <x v="1"/>
    <x v="2"/>
    <x v="1"/>
    <x v="1"/>
    <x v="1"/>
    <n v="0"/>
    <n v="0"/>
    <n v="5"/>
  </r>
  <r>
    <n v="3245"/>
    <s v="Fernanda Lima"/>
    <x v="0"/>
    <d v="2024-03-11T00:00:00"/>
    <x v="1"/>
    <x v="0"/>
    <x v="0"/>
    <x v="0"/>
    <x v="0"/>
    <x v="0"/>
    <n v="20"/>
    <n v="8"/>
    <n v="57"/>
  </r>
  <r>
    <n v="3246"/>
    <s v="Caio Pereira"/>
    <x v="2"/>
    <d v="2024-03-12T00:00:00"/>
    <x v="0"/>
    <x v="2"/>
    <x v="1"/>
    <x v="1"/>
    <x v="1"/>
    <x v="0"/>
    <n v="20"/>
    <n v="12"/>
    <n v="18"/>
  </r>
  <r>
    <n v="3247"/>
    <s v="Beatriz Gomes"/>
    <x v="1"/>
    <d v="2024-03-13T00:00:00"/>
    <x v="1"/>
    <x v="1"/>
    <x v="0"/>
    <x v="1"/>
    <x v="1"/>
    <x v="1"/>
    <n v="0"/>
    <n v="2"/>
    <n v="3"/>
  </r>
  <r>
    <n v="3248"/>
    <s v="Cesar Oliveira"/>
    <x v="0"/>
    <d v="2024-03-14T00:00:00"/>
    <x v="0"/>
    <x v="0"/>
    <x v="2"/>
    <x v="0"/>
    <x v="0"/>
    <x v="0"/>
    <n v="20"/>
    <n v="7"/>
    <n v="58"/>
  </r>
  <r>
    <n v="3249"/>
    <s v="Débora Machado"/>
    <x v="2"/>
    <d v="2024-03-15T00:00:00"/>
    <x v="1"/>
    <x v="2"/>
    <x v="0"/>
    <x v="1"/>
    <x v="1"/>
    <x v="0"/>
    <n v="20"/>
    <n v="5"/>
    <n v="25"/>
  </r>
  <r>
    <n v="3250"/>
    <s v="Eduardo Vargas"/>
    <x v="1"/>
    <d v="2024-03-16T00:00:00"/>
    <x v="0"/>
    <x v="1"/>
    <x v="1"/>
    <x v="1"/>
    <x v="1"/>
    <x v="1"/>
    <n v="0"/>
    <n v="0"/>
    <n v="5"/>
  </r>
  <r>
    <n v="3251"/>
    <s v="Gabriela Santos"/>
    <x v="0"/>
    <d v="2024-03-17T00:00:00"/>
    <x v="1"/>
    <x v="0"/>
    <x v="0"/>
    <x v="0"/>
    <x v="0"/>
    <x v="0"/>
    <n v="20"/>
    <n v="3"/>
    <n v="62"/>
  </r>
  <r>
    <n v="3252"/>
    <s v="Henrique Dias"/>
    <x v="2"/>
    <d v="2024-03-18T00:00:00"/>
    <x v="0"/>
    <x v="2"/>
    <x v="2"/>
    <x v="1"/>
    <x v="1"/>
    <x v="0"/>
    <n v="20"/>
    <n v="15"/>
    <n v="15"/>
  </r>
  <r>
    <n v="3253"/>
    <s v="Isabela Moreira"/>
    <x v="1"/>
    <d v="2024-03-19T00:00:00"/>
    <x v="1"/>
    <x v="1"/>
    <x v="0"/>
    <x v="1"/>
    <x v="1"/>
    <x v="1"/>
    <n v="0"/>
    <n v="1"/>
    <n v="4"/>
  </r>
  <r>
    <n v="3254"/>
    <s v="Joaquim Barbosa"/>
    <x v="0"/>
    <d v="2024-03-20T00:00:00"/>
    <x v="0"/>
    <x v="0"/>
    <x v="1"/>
    <x v="0"/>
    <x v="0"/>
    <x v="0"/>
    <n v="20"/>
    <n v="20"/>
    <n v="45"/>
  </r>
  <r>
    <n v="3255"/>
    <s v="Lara Rocha"/>
    <x v="2"/>
    <d v="2024-03-21T00:00:00"/>
    <x v="1"/>
    <x v="2"/>
    <x v="0"/>
    <x v="1"/>
    <x v="1"/>
    <x v="0"/>
    <n v="20"/>
    <n v="10"/>
    <n v="20"/>
  </r>
  <r>
    <n v="3256"/>
    <s v="Matheus Silva"/>
    <x v="1"/>
    <d v="2024-03-22T00:00:00"/>
    <x v="0"/>
    <x v="1"/>
    <x v="2"/>
    <x v="1"/>
    <x v="1"/>
    <x v="1"/>
    <n v="0"/>
    <n v="0"/>
    <n v="5"/>
  </r>
  <r>
    <n v="3257"/>
    <s v="Nicole Costa"/>
    <x v="0"/>
    <d v="2024-03-23T00:00:00"/>
    <x v="1"/>
    <x v="0"/>
    <x v="0"/>
    <x v="0"/>
    <x v="0"/>
    <x v="0"/>
    <n v="20"/>
    <n v="5"/>
    <n v="60"/>
  </r>
  <r>
    <n v="3258"/>
    <s v="Otávio Mendonça"/>
    <x v="2"/>
    <d v="2024-03-24T00:00:00"/>
    <x v="0"/>
    <x v="2"/>
    <x v="1"/>
    <x v="1"/>
    <x v="1"/>
    <x v="0"/>
    <n v="20"/>
    <n v="15"/>
    <n v="15"/>
  </r>
  <r>
    <n v="3259"/>
    <s v="Paula Ferreira"/>
    <x v="1"/>
    <d v="2024-03-25T00:00:00"/>
    <x v="1"/>
    <x v="1"/>
    <x v="0"/>
    <x v="1"/>
    <x v="1"/>
    <x v="1"/>
    <n v="0"/>
    <n v="1"/>
    <n v="4"/>
  </r>
  <r>
    <n v="3260"/>
    <s v="Raquel Alves"/>
    <x v="0"/>
    <d v="2024-03-26T00:00:00"/>
    <x v="0"/>
    <x v="0"/>
    <x v="2"/>
    <x v="0"/>
    <x v="0"/>
    <x v="0"/>
    <n v="20"/>
    <n v="7"/>
    <n v="58"/>
  </r>
  <r>
    <n v="3261"/>
    <s v="Samuel Pires"/>
    <x v="2"/>
    <d v="2024-03-27T00:00:00"/>
    <x v="1"/>
    <x v="2"/>
    <x v="0"/>
    <x v="1"/>
    <x v="1"/>
    <x v="0"/>
    <n v="20"/>
    <n v="10"/>
    <n v="20"/>
  </r>
  <r>
    <n v="3262"/>
    <s v="Tânia Barros"/>
    <x v="1"/>
    <d v="2024-03-28T00:00:00"/>
    <x v="0"/>
    <x v="1"/>
    <x v="1"/>
    <x v="1"/>
    <x v="1"/>
    <x v="1"/>
    <n v="0"/>
    <n v="0"/>
    <n v="5"/>
  </r>
  <r>
    <n v="3263"/>
    <s v="Vinicius Lima"/>
    <x v="0"/>
    <d v="2024-03-29T00:00:00"/>
    <x v="1"/>
    <x v="0"/>
    <x v="0"/>
    <x v="0"/>
    <x v="0"/>
    <x v="0"/>
    <n v="20"/>
    <n v="3"/>
    <n v="62"/>
  </r>
  <r>
    <n v="3264"/>
    <s v="Yasmin Teixeira"/>
    <x v="2"/>
    <d v="2024-03-30T00:00:00"/>
    <x v="0"/>
    <x v="2"/>
    <x v="2"/>
    <x v="1"/>
    <x v="1"/>
    <x v="0"/>
    <n v="20"/>
    <n v="15"/>
    <n v="15"/>
  </r>
  <r>
    <n v="3265"/>
    <s v="Zé Carlos"/>
    <x v="1"/>
    <d v="2024-03-31T00:00:00"/>
    <x v="1"/>
    <x v="1"/>
    <x v="0"/>
    <x v="1"/>
    <x v="1"/>
    <x v="1"/>
    <n v="0"/>
    <n v="1"/>
    <n v="4"/>
  </r>
  <r>
    <n v="3266"/>
    <s v="Amanda Nogueira"/>
    <x v="1"/>
    <d v="2024-04-01T00:00:00"/>
    <x v="0"/>
    <x v="1"/>
    <x v="0"/>
    <x v="1"/>
    <x v="1"/>
    <x v="1"/>
    <n v="0"/>
    <n v="0"/>
    <n v="5"/>
  </r>
  <r>
    <n v="3267"/>
    <s v="Bruno Cavalheiro"/>
    <x v="0"/>
    <d v="2024-04-02T00:00:00"/>
    <x v="1"/>
    <x v="0"/>
    <x v="2"/>
    <x v="0"/>
    <x v="0"/>
    <x v="0"/>
    <n v="20"/>
    <n v="7"/>
    <n v="58"/>
  </r>
  <r>
    <n v="3268"/>
    <s v="Carla Dias"/>
    <x v="2"/>
    <d v="2024-04-03T00:00:00"/>
    <x v="0"/>
    <x v="2"/>
    <x v="1"/>
    <x v="1"/>
    <x v="1"/>
    <x v="0"/>
    <n v="20"/>
    <n v="10"/>
    <n v="20"/>
  </r>
  <r>
    <n v="3269"/>
    <s v="Diego Fontes"/>
    <x v="1"/>
    <d v="2024-04-04T00:00:00"/>
    <x v="1"/>
    <x v="1"/>
    <x v="2"/>
    <x v="1"/>
    <x v="1"/>
    <x v="1"/>
    <n v="0"/>
    <n v="1"/>
    <n v="4"/>
  </r>
  <r>
    <n v="3270"/>
    <s v="Eunice Lima"/>
    <x v="0"/>
    <d v="2024-04-05T00:00:00"/>
    <x v="0"/>
    <x v="0"/>
    <x v="0"/>
    <x v="0"/>
    <x v="0"/>
    <x v="0"/>
    <n v="20"/>
    <n v="15"/>
    <n v="50"/>
  </r>
  <r>
    <n v="3271"/>
    <s v="Fábio Martins"/>
    <x v="2"/>
    <d v="2024-04-06T00:00:00"/>
    <x v="1"/>
    <x v="2"/>
    <x v="0"/>
    <x v="1"/>
    <x v="1"/>
    <x v="0"/>
    <n v="20"/>
    <n v="5"/>
    <n v="25"/>
  </r>
  <r>
    <n v="3272"/>
    <s v="Gisele Araújo"/>
    <x v="1"/>
    <d v="2024-04-07T00:00:00"/>
    <x v="0"/>
    <x v="1"/>
    <x v="1"/>
    <x v="1"/>
    <x v="1"/>
    <x v="1"/>
    <n v="0"/>
    <n v="0"/>
    <n v="5"/>
  </r>
  <r>
    <n v="3273"/>
    <s v="Hélio Castro"/>
    <x v="0"/>
    <d v="2024-04-08T00:00:00"/>
    <x v="1"/>
    <x v="0"/>
    <x v="2"/>
    <x v="0"/>
    <x v="0"/>
    <x v="0"/>
    <n v="20"/>
    <n v="20"/>
    <n v="45"/>
  </r>
  <r>
    <n v="3274"/>
    <s v="Ingrid Menezes"/>
    <x v="2"/>
    <d v="2024-04-09T00:00:00"/>
    <x v="0"/>
    <x v="2"/>
    <x v="2"/>
    <x v="1"/>
    <x v="1"/>
    <x v="0"/>
    <n v="20"/>
    <n v="12"/>
    <n v="18"/>
  </r>
  <r>
    <n v="3275"/>
    <s v="Jorge Baptista"/>
    <x v="1"/>
    <d v="2024-04-10T00:00:00"/>
    <x v="1"/>
    <x v="1"/>
    <x v="0"/>
    <x v="1"/>
    <x v="1"/>
    <x v="1"/>
    <n v="0"/>
    <n v="2"/>
    <n v="3"/>
  </r>
  <r>
    <n v="3276"/>
    <s v="Kléber Oliveira"/>
    <x v="0"/>
    <d v="2024-04-11T00:00:00"/>
    <x v="0"/>
    <x v="0"/>
    <x v="1"/>
    <x v="0"/>
    <x v="0"/>
    <x v="0"/>
    <n v="20"/>
    <n v="5"/>
    <n v="60"/>
  </r>
  <r>
    <n v="3277"/>
    <s v="Luciana Freitas"/>
    <x v="2"/>
    <d v="2024-04-12T00:00:00"/>
    <x v="1"/>
    <x v="2"/>
    <x v="0"/>
    <x v="1"/>
    <x v="1"/>
    <x v="0"/>
    <n v="20"/>
    <n v="10"/>
    <n v="20"/>
  </r>
  <r>
    <n v="3278"/>
    <s v="Márcia Eller"/>
    <x v="1"/>
    <d v="2024-04-13T00:00:00"/>
    <x v="0"/>
    <x v="1"/>
    <x v="2"/>
    <x v="1"/>
    <x v="1"/>
    <x v="1"/>
    <n v="0"/>
    <n v="0"/>
    <n v="5"/>
  </r>
  <r>
    <n v="3279"/>
    <s v="Nilo Peçanha"/>
    <x v="0"/>
    <d v="2024-04-14T00:00:00"/>
    <x v="1"/>
    <x v="0"/>
    <x v="0"/>
    <x v="0"/>
    <x v="0"/>
    <x v="0"/>
    <n v="20"/>
    <n v="3"/>
    <n v="62"/>
  </r>
  <r>
    <n v="3280"/>
    <s v="Oscar Neves"/>
    <x v="2"/>
    <d v="2024-04-15T00:00:00"/>
    <x v="0"/>
    <x v="2"/>
    <x v="1"/>
    <x v="1"/>
    <x v="1"/>
    <x v="0"/>
    <n v="20"/>
    <n v="15"/>
    <n v="15"/>
  </r>
  <r>
    <n v="3281"/>
    <s v="Patrícia Soares"/>
    <x v="1"/>
    <d v="2024-04-16T00:00:00"/>
    <x v="1"/>
    <x v="1"/>
    <x v="0"/>
    <x v="1"/>
    <x v="1"/>
    <x v="1"/>
    <n v="0"/>
    <n v="1"/>
    <n v="4"/>
  </r>
  <r>
    <n v="3282"/>
    <s v="Quirino Gonçalves"/>
    <x v="0"/>
    <d v="2024-04-17T00:00:00"/>
    <x v="0"/>
    <x v="0"/>
    <x v="2"/>
    <x v="0"/>
    <x v="0"/>
    <x v="0"/>
    <n v="20"/>
    <n v="7"/>
    <n v="58"/>
  </r>
  <r>
    <n v="3283"/>
    <s v="Raul Machado"/>
    <x v="2"/>
    <d v="2024-04-18T00:00:00"/>
    <x v="1"/>
    <x v="2"/>
    <x v="0"/>
    <x v="1"/>
    <x v="1"/>
    <x v="0"/>
    <n v="20"/>
    <n v="10"/>
    <n v="20"/>
  </r>
  <r>
    <n v="3284"/>
    <s v="Sônia Lobo"/>
    <x v="1"/>
    <d v="2024-04-19T00:00:00"/>
    <x v="0"/>
    <x v="1"/>
    <x v="1"/>
    <x v="1"/>
    <x v="1"/>
    <x v="1"/>
    <n v="0"/>
    <n v="0"/>
    <n v="5"/>
  </r>
  <r>
    <n v="3285"/>
    <s v="Tiago Ramos"/>
    <x v="0"/>
    <d v="2024-04-20T00:00:00"/>
    <x v="1"/>
    <x v="0"/>
    <x v="0"/>
    <x v="0"/>
    <x v="0"/>
    <x v="0"/>
    <n v="20"/>
    <n v="20"/>
    <n v="45"/>
  </r>
  <r>
    <n v="3286"/>
    <s v="Ugo Pires"/>
    <x v="2"/>
    <d v="2024-04-21T00:00:00"/>
    <x v="0"/>
    <x v="2"/>
    <x v="2"/>
    <x v="1"/>
    <x v="1"/>
    <x v="0"/>
    <n v="20"/>
    <n v="15"/>
    <n v="15"/>
  </r>
  <r>
    <n v="3287"/>
    <s v="Valéria Nobre"/>
    <x v="1"/>
    <d v="2024-04-22T00:00:00"/>
    <x v="1"/>
    <x v="1"/>
    <x v="0"/>
    <x v="1"/>
    <x v="1"/>
    <x v="1"/>
    <n v="0"/>
    <n v="1"/>
    <n v="4"/>
  </r>
  <r>
    <n v="3288"/>
    <s v="William Siqueira"/>
    <x v="0"/>
    <d v="2024-04-23T00:00:00"/>
    <x v="0"/>
    <x v="0"/>
    <x v="1"/>
    <x v="0"/>
    <x v="0"/>
    <x v="0"/>
    <n v="20"/>
    <n v="3"/>
    <n v="62"/>
  </r>
  <r>
    <n v="3289"/>
    <s v="Xuxa Meneghel"/>
    <x v="2"/>
    <d v="2024-04-24T00:00:00"/>
    <x v="1"/>
    <x v="2"/>
    <x v="0"/>
    <x v="1"/>
    <x v="1"/>
    <x v="0"/>
    <n v="20"/>
    <n v="10"/>
    <n v="20"/>
  </r>
  <r>
    <n v="3290"/>
    <s v="Yara Figueiredo"/>
    <x v="1"/>
    <d v="2024-04-25T00:00:00"/>
    <x v="0"/>
    <x v="1"/>
    <x v="2"/>
    <x v="1"/>
    <x v="1"/>
    <x v="1"/>
    <n v="0"/>
    <n v="0"/>
    <n v="5"/>
  </r>
  <r>
    <n v="3291"/>
    <s v="Zacarias Alves"/>
    <x v="0"/>
    <d v="2024-04-26T00:00:00"/>
    <x v="1"/>
    <x v="0"/>
    <x v="0"/>
    <x v="0"/>
    <x v="0"/>
    <x v="0"/>
    <n v="20"/>
    <n v="5"/>
    <n v="60"/>
  </r>
  <r>
    <n v="3292"/>
    <s v="Amanda Bynes"/>
    <x v="2"/>
    <d v="2024-04-27T00:00:00"/>
    <x v="0"/>
    <x v="2"/>
    <x v="1"/>
    <x v="1"/>
    <x v="1"/>
    <x v="0"/>
    <n v="20"/>
    <n v="15"/>
    <n v="15"/>
  </r>
  <r>
    <n v="3293"/>
    <s v="Bruno Mars"/>
    <x v="1"/>
    <d v="2024-04-28T00:00:00"/>
    <x v="1"/>
    <x v="1"/>
    <x v="0"/>
    <x v="1"/>
    <x v="1"/>
    <x v="1"/>
    <n v="0"/>
    <n v="1"/>
    <n v="4"/>
  </r>
  <r>
    <n v="3294"/>
    <s v="Carla Bruni"/>
    <x v="0"/>
    <d v="2024-04-29T00:00:00"/>
    <x v="0"/>
    <x v="0"/>
    <x v="2"/>
    <x v="0"/>
    <x v="0"/>
    <x v="0"/>
    <n v="20"/>
    <n v="20"/>
    <n v="45"/>
  </r>
  <r>
    <n v="3295"/>
    <s v="Diego Maradona"/>
    <x v="2"/>
    <d v="2024-04-30T00:00:00"/>
    <x v="1"/>
    <x v="2"/>
    <x v="0"/>
    <x v="1"/>
    <x v="1"/>
    <x v="0"/>
    <n v="20"/>
    <n v="5"/>
    <n v="25"/>
  </r>
  <r>
    <n v="3296"/>
    <s v="Estela Marques"/>
    <x v="1"/>
    <d v="2024-05-01T00:00:00"/>
    <x v="1"/>
    <x v="1"/>
    <x v="0"/>
    <x v="1"/>
    <x v="1"/>
    <x v="1"/>
    <n v="0"/>
    <n v="0"/>
    <n v="5"/>
  </r>
  <r>
    <n v="3297"/>
    <s v="Fábio Nobre"/>
    <x v="0"/>
    <d v="2024-05-02T00:00:00"/>
    <x v="0"/>
    <x v="0"/>
    <x v="2"/>
    <x v="0"/>
    <x v="0"/>
    <x v="0"/>
    <n v="20"/>
    <n v="7"/>
    <n v="58"/>
  </r>
  <r>
    <n v="3298"/>
    <s v="Gabriel Oliveira"/>
    <x v="2"/>
    <d v="2024-05-03T00:00:00"/>
    <x v="1"/>
    <x v="2"/>
    <x v="1"/>
    <x v="1"/>
    <x v="1"/>
    <x v="0"/>
    <n v="20"/>
    <n v="10"/>
    <n v="20"/>
  </r>
  <r>
    <n v="3299"/>
    <s v="Helena Santos"/>
    <x v="1"/>
    <d v="2024-05-04T00:00:00"/>
    <x v="0"/>
    <x v="1"/>
    <x v="2"/>
    <x v="1"/>
    <x v="1"/>
    <x v="1"/>
    <n v="0"/>
    <n v="1"/>
    <n v="4"/>
  </r>
  <r>
    <n v="3300"/>
    <s v="Ivan Carvalho"/>
    <x v="0"/>
    <d v="2024-05-05T00:00:00"/>
    <x v="1"/>
    <x v="0"/>
    <x v="0"/>
    <x v="0"/>
    <x v="0"/>
    <x v="0"/>
    <n v="20"/>
    <n v="15"/>
    <n v="50"/>
  </r>
  <r>
    <n v="3301"/>
    <s v="Júlia Ferreira"/>
    <x v="2"/>
    <d v="2024-05-06T00:00:00"/>
    <x v="0"/>
    <x v="2"/>
    <x v="0"/>
    <x v="1"/>
    <x v="1"/>
    <x v="0"/>
    <n v="20"/>
    <n v="5"/>
    <n v="25"/>
  </r>
  <r>
    <n v="3302"/>
    <s v="Karla Alves"/>
    <x v="1"/>
    <d v="2024-05-07T00:00:00"/>
    <x v="1"/>
    <x v="1"/>
    <x v="1"/>
    <x v="1"/>
    <x v="1"/>
    <x v="1"/>
    <n v="0"/>
    <n v="0"/>
    <n v="5"/>
  </r>
  <r>
    <n v="3303"/>
    <s v="Lucas Mendes"/>
    <x v="0"/>
    <d v="2024-05-08T00:00:00"/>
    <x v="0"/>
    <x v="0"/>
    <x v="2"/>
    <x v="0"/>
    <x v="0"/>
    <x v="0"/>
    <n v="20"/>
    <n v="20"/>
    <n v="45"/>
  </r>
  <r>
    <n v="3304"/>
    <s v="Mônica Gomes"/>
    <x v="2"/>
    <d v="2024-05-09T00:00:00"/>
    <x v="1"/>
    <x v="2"/>
    <x v="2"/>
    <x v="1"/>
    <x v="1"/>
    <x v="0"/>
    <n v="20"/>
    <n v="12"/>
    <n v="18"/>
  </r>
  <r>
    <n v="3305"/>
    <s v="Norberto Queiroz"/>
    <x v="1"/>
    <d v="2024-05-10T00:00:00"/>
    <x v="0"/>
    <x v="1"/>
    <x v="0"/>
    <x v="1"/>
    <x v="1"/>
    <x v="1"/>
    <n v="0"/>
    <n v="2"/>
    <n v="3"/>
  </r>
  <r>
    <n v="3306"/>
    <s v="Otávio Barros"/>
    <x v="0"/>
    <d v="2024-05-11T00:00:00"/>
    <x v="1"/>
    <x v="0"/>
    <x v="1"/>
    <x v="0"/>
    <x v="0"/>
    <x v="0"/>
    <n v="20"/>
    <n v="5"/>
    <n v="60"/>
  </r>
  <r>
    <n v="3307"/>
    <s v="Paula Vieira"/>
    <x v="2"/>
    <d v="2024-05-12T00:00:00"/>
    <x v="0"/>
    <x v="2"/>
    <x v="0"/>
    <x v="1"/>
    <x v="1"/>
    <x v="0"/>
    <n v="20"/>
    <n v="10"/>
    <n v="20"/>
  </r>
  <r>
    <n v="3308"/>
    <s v="Quentin Ramos"/>
    <x v="1"/>
    <d v="2024-05-13T00:00:00"/>
    <x v="1"/>
    <x v="1"/>
    <x v="2"/>
    <x v="1"/>
    <x v="1"/>
    <x v="1"/>
    <n v="0"/>
    <n v="0"/>
    <n v="5"/>
  </r>
  <r>
    <n v="3309"/>
    <s v="Raquel Novaes"/>
    <x v="0"/>
    <d v="2024-05-14T00:00:00"/>
    <x v="0"/>
    <x v="0"/>
    <x v="0"/>
    <x v="0"/>
    <x v="0"/>
    <x v="0"/>
    <n v="20"/>
    <n v="3"/>
    <n v="62"/>
  </r>
  <r>
    <n v="3310"/>
    <s v="Samantha Lopes"/>
    <x v="2"/>
    <d v="2024-05-15T00:00:00"/>
    <x v="1"/>
    <x v="2"/>
    <x v="1"/>
    <x v="1"/>
    <x v="1"/>
    <x v="0"/>
    <n v="20"/>
    <n v="15"/>
    <n v="15"/>
  </r>
  <r>
    <n v="3311"/>
    <s v="Tiago Martins"/>
    <x v="1"/>
    <d v="2024-05-16T00:00:00"/>
    <x v="0"/>
    <x v="1"/>
    <x v="0"/>
    <x v="1"/>
    <x v="1"/>
    <x v="1"/>
    <n v="0"/>
    <n v="1"/>
    <n v="4"/>
  </r>
  <r>
    <n v="3312"/>
    <s v="Ulysses Guimarães"/>
    <x v="0"/>
    <d v="2024-05-17T00:00:00"/>
    <x v="1"/>
    <x v="0"/>
    <x v="2"/>
    <x v="0"/>
    <x v="0"/>
    <x v="0"/>
    <n v="20"/>
    <n v="7"/>
    <n v="58"/>
  </r>
  <r>
    <n v="3313"/>
    <s v="Vanessa Silva"/>
    <x v="2"/>
    <d v="2024-05-18T00:00:00"/>
    <x v="0"/>
    <x v="2"/>
    <x v="0"/>
    <x v="1"/>
    <x v="1"/>
    <x v="0"/>
    <n v="20"/>
    <n v="10"/>
    <n v="20"/>
  </r>
  <r>
    <n v="3314"/>
    <s v="William Carneiro"/>
    <x v="1"/>
    <d v="2024-05-19T00:00:00"/>
    <x v="1"/>
    <x v="1"/>
    <x v="1"/>
    <x v="1"/>
    <x v="1"/>
    <x v="1"/>
    <n v="0"/>
    <n v="0"/>
    <n v="5"/>
  </r>
  <r>
    <n v="3315"/>
    <s v="Ximena Rocha"/>
    <x v="0"/>
    <d v="2024-05-20T00:00:00"/>
    <x v="0"/>
    <x v="0"/>
    <x v="0"/>
    <x v="0"/>
    <x v="0"/>
    <x v="0"/>
    <n v="20"/>
    <n v="20"/>
    <n v="45"/>
  </r>
  <r>
    <n v="3316"/>
    <s v="Yasmin Figueiredo"/>
    <x v="2"/>
    <d v="2024-05-21T00:00:00"/>
    <x v="1"/>
    <x v="2"/>
    <x v="2"/>
    <x v="1"/>
    <x v="1"/>
    <x v="0"/>
    <n v="20"/>
    <n v="15"/>
    <n v="15"/>
  </r>
  <r>
    <n v="3317"/>
    <s v="Zara Cunha"/>
    <x v="1"/>
    <d v="2024-05-22T00:00:00"/>
    <x v="0"/>
    <x v="1"/>
    <x v="0"/>
    <x v="1"/>
    <x v="1"/>
    <x v="1"/>
    <n v="0"/>
    <n v="1"/>
    <n v="4"/>
  </r>
  <r>
    <n v="3318"/>
    <s v="Alan Teixeira"/>
    <x v="0"/>
    <d v="2024-05-23T00:00:00"/>
    <x v="1"/>
    <x v="0"/>
    <x v="1"/>
    <x v="0"/>
    <x v="0"/>
    <x v="0"/>
    <n v="20"/>
    <n v="3"/>
    <n v="62"/>
  </r>
  <r>
    <n v="3319"/>
    <s v="Bárbara Oliveira"/>
    <x v="2"/>
    <d v="2024-05-24T00:00:00"/>
    <x v="0"/>
    <x v="2"/>
    <x v="0"/>
    <x v="1"/>
    <x v="1"/>
    <x v="0"/>
    <n v="20"/>
    <n v="10"/>
    <n v="20"/>
  </r>
  <r>
    <n v="3320"/>
    <s v="Carlos Junqueira"/>
    <x v="1"/>
    <d v="2024-05-25T00:00:00"/>
    <x v="1"/>
    <x v="1"/>
    <x v="2"/>
    <x v="1"/>
    <x v="1"/>
    <x v="1"/>
    <n v="0"/>
    <n v="0"/>
    <n v="5"/>
  </r>
  <r>
    <n v="3321"/>
    <s v="Daniela Moura"/>
    <x v="0"/>
    <d v="2024-05-26T00:00:00"/>
    <x v="0"/>
    <x v="0"/>
    <x v="0"/>
    <x v="0"/>
    <x v="0"/>
    <x v="0"/>
    <n v="20"/>
    <n v="5"/>
    <n v="60"/>
  </r>
  <r>
    <n v="3322"/>
    <s v="Eduardo Lima"/>
    <x v="2"/>
    <d v="2024-05-27T00:00:00"/>
    <x v="1"/>
    <x v="2"/>
    <x v="1"/>
    <x v="1"/>
    <x v="1"/>
    <x v="0"/>
    <n v="20"/>
    <n v="15"/>
    <n v="15"/>
  </r>
  <r>
    <n v="3323"/>
    <s v="Fabiana Araújo"/>
    <x v="1"/>
    <d v="2024-05-28T00:00:00"/>
    <x v="0"/>
    <x v="1"/>
    <x v="0"/>
    <x v="1"/>
    <x v="1"/>
    <x v="1"/>
    <n v="0"/>
    <n v="1"/>
    <n v="4"/>
  </r>
  <r>
    <n v="3324"/>
    <s v="Geraldo Ribeiro"/>
    <x v="0"/>
    <d v="2024-05-29T00:00:00"/>
    <x v="1"/>
    <x v="0"/>
    <x v="2"/>
    <x v="0"/>
    <x v="0"/>
    <x v="0"/>
    <n v="20"/>
    <n v="20"/>
    <n v="45"/>
  </r>
  <r>
    <n v="3325"/>
    <s v="Héctor Vargas"/>
    <x v="2"/>
    <d v="2024-05-30T00:00:00"/>
    <x v="0"/>
    <x v="2"/>
    <x v="2"/>
    <x v="1"/>
    <x v="1"/>
    <x v="0"/>
    <n v="20"/>
    <n v="15"/>
    <n v="15"/>
  </r>
  <r>
    <n v="3326"/>
    <s v="Isabela Fonseca"/>
    <x v="1"/>
    <d v="2024-05-31T00:00:00"/>
    <x v="1"/>
    <x v="1"/>
    <x v="1"/>
    <x v="1"/>
    <x v="1"/>
    <x v="1"/>
    <n v="0"/>
    <n v="0"/>
    <n v="5"/>
  </r>
  <r>
    <n v="3327"/>
    <s v="João Pedro Almeida"/>
    <x v="0"/>
    <d v="2024-06-01T00:00:00"/>
    <x v="0"/>
    <x v="0"/>
    <x v="0"/>
    <x v="0"/>
    <x v="0"/>
    <x v="0"/>
    <n v="20"/>
    <n v="7"/>
    <n v="58"/>
  </r>
  <r>
    <n v="3328"/>
    <s v="Klara Costa"/>
    <x v="2"/>
    <d v="2024-06-02T00:00:00"/>
    <x v="1"/>
    <x v="2"/>
    <x v="1"/>
    <x v="1"/>
    <x v="1"/>
    <x v="0"/>
    <n v="20"/>
    <n v="10"/>
    <n v="20"/>
  </r>
  <r>
    <n v="3329"/>
    <s v="Luciana Mendes"/>
    <x v="1"/>
    <d v="2024-06-03T00:00:00"/>
    <x v="0"/>
    <x v="1"/>
    <x v="2"/>
    <x v="1"/>
    <x v="1"/>
    <x v="1"/>
    <n v="0"/>
    <n v="1"/>
    <n v="4"/>
  </r>
  <r>
    <n v="3330"/>
    <s v="Marcelo Gouveia"/>
    <x v="0"/>
    <d v="2024-06-04T00:00:00"/>
    <x v="1"/>
    <x v="0"/>
    <x v="0"/>
    <x v="0"/>
    <x v="0"/>
    <x v="0"/>
    <n v="20"/>
    <n v="15"/>
    <n v="50"/>
  </r>
  <r>
    <n v="3331"/>
    <s v="Nívea Borges"/>
    <x v="2"/>
    <d v="2024-06-05T00:00:00"/>
    <x v="0"/>
    <x v="2"/>
    <x v="0"/>
    <x v="1"/>
    <x v="1"/>
    <x v="0"/>
    <n v="20"/>
    <n v="5"/>
    <n v="25"/>
  </r>
  <r>
    <n v="3332"/>
    <s v="Oscar Nogueira"/>
    <x v="1"/>
    <d v="2024-06-06T00:00:00"/>
    <x v="1"/>
    <x v="1"/>
    <x v="1"/>
    <x v="1"/>
    <x v="1"/>
    <x v="1"/>
    <n v="0"/>
    <n v="0"/>
    <n v="5"/>
  </r>
  <r>
    <n v="3333"/>
    <s v="Patrícia Alves"/>
    <x v="0"/>
    <d v="2024-06-07T00:00:00"/>
    <x v="0"/>
    <x v="0"/>
    <x v="2"/>
    <x v="0"/>
    <x v="0"/>
    <x v="0"/>
    <n v="20"/>
    <n v="20"/>
    <n v="45"/>
  </r>
  <r>
    <n v="3334"/>
    <s v="Rafaela Silva"/>
    <x v="2"/>
    <d v="2024-06-08T00:00:00"/>
    <x v="1"/>
    <x v="2"/>
    <x v="2"/>
    <x v="1"/>
    <x v="1"/>
    <x v="0"/>
    <n v="20"/>
    <n v="12"/>
    <n v="18"/>
  </r>
  <r>
    <n v="3335"/>
    <s v="Samantha Moraes"/>
    <x v="1"/>
    <d v="2024-06-09T00:00:00"/>
    <x v="0"/>
    <x v="1"/>
    <x v="0"/>
    <x v="1"/>
    <x v="1"/>
    <x v="1"/>
    <n v="0"/>
    <n v="2"/>
    <n v="3"/>
  </r>
  <r>
    <n v="3336"/>
    <s v="Tatiana Rocha"/>
    <x v="1"/>
    <d v="2024-06-10T00:00:00"/>
    <x v="0"/>
    <x v="1"/>
    <x v="0"/>
    <x v="1"/>
    <x v="1"/>
    <x v="1"/>
    <n v="0"/>
    <n v="0"/>
    <n v="5"/>
  </r>
  <r>
    <n v="3337"/>
    <s v="Ulisses Tavares"/>
    <x v="0"/>
    <d v="2024-06-11T00:00:00"/>
    <x v="1"/>
    <x v="0"/>
    <x v="2"/>
    <x v="0"/>
    <x v="0"/>
    <x v="0"/>
    <n v="20"/>
    <n v="7"/>
    <n v="58"/>
  </r>
  <r>
    <n v="3338"/>
    <s v="Víctor Lemos"/>
    <x v="2"/>
    <d v="2024-06-12T00:00:00"/>
    <x v="0"/>
    <x v="2"/>
    <x v="1"/>
    <x v="1"/>
    <x v="1"/>
    <x v="0"/>
    <n v="20"/>
    <n v="10"/>
    <n v="20"/>
  </r>
  <r>
    <n v="3339"/>
    <s v="Wilma Barros"/>
    <x v="1"/>
    <d v="2024-06-13T00:00:00"/>
    <x v="1"/>
    <x v="1"/>
    <x v="2"/>
    <x v="1"/>
    <x v="1"/>
    <x v="1"/>
    <n v="0"/>
    <n v="1"/>
    <n v="4"/>
  </r>
  <r>
    <n v="3340"/>
    <s v="Xavier Nascimento"/>
    <x v="0"/>
    <d v="2024-06-14T00:00:00"/>
    <x v="0"/>
    <x v="0"/>
    <x v="0"/>
    <x v="0"/>
    <x v="0"/>
    <x v="0"/>
    <n v="20"/>
    <n v="15"/>
    <n v="50"/>
  </r>
  <r>
    <n v="3341"/>
    <s v="Yago Pereira"/>
    <x v="2"/>
    <d v="2024-06-15T00:00:00"/>
    <x v="1"/>
    <x v="2"/>
    <x v="0"/>
    <x v="1"/>
    <x v="1"/>
    <x v="0"/>
    <n v="20"/>
    <n v="5"/>
    <n v="25"/>
  </r>
  <r>
    <n v="3342"/>
    <s v="Zilda Ferreira"/>
    <x v="1"/>
    <d v="2024-06-16T00:00:00"/>
    <x v="0"/>
    <x v="1"/>
    <x v="1"/>
    <x v="1"/>
    <x v="1"/>
    <x v="1"/>
    <n v="0"/>
    <n v="0"/>
    <n v="5"/>
  </r>
  <r>
    <n v="3343"/>
    <s v="Amanda Lopes"/>
    <x v="0"/>
    <d v="2024-06-17T00:00:00"/>
    <x v="1"/>
    <x v="0"/>
    <x v="2"/>
    <x v="0"/>
    <x v="0"/>
    <x v="0"/>
    <n v="20"/>
    <n v="20"/>
    <n v="45"/>
  </r>
  <r>
    <n v="3344"/>
    <s v="Bruno Miranda"/>
    <x v="2"/>
    <d v="2024-06-18T00:00:00"/>
    <x v="0"/>
    <x v="2"/>
    <x v="2"/>
    <x v="1"/>
    <x v="1"/>
    <x v="0"/>
    <n v="20"/>
    <n v="12"/>
    <n v="18"/>
  </r>
  <r>
    <n v="3345"/>
    <s v="Célia Torres"/>
    <x v="1"/>
    <d v="2024-06-19T00:00:00"/>
    <x v="1"/>
    <x v="1"/>
    <x v="0"/>
    <x v="1"/>
    <x v="1"/>
    <x v="1"/>
    <n v="0"/>
    <n v="2"/>
    <n v="3"/>
  </r>
  <r>
    <n v="3346"/>
    <s v="Diogo Souza"/>
    <x v="0"/>
    <d v="2024-06-20T00:00:00"/>
    <x v="0"/>
    <x v="0"/>
    <x v="1"/>
    <x v="0"/>
    <x v="0"/>
    <x v="0"/>
    <n v="20"/>
    <n v="5"/>
    <n v="60"/>
  </r>
  <r>
    <n v="3347"/>
    <s v="Elisa Castro"/>
    <x v="2"/>
    <d v="2024-06-21T00:00:00"/>
    <x v="1"/>
    <x v="2"/>
    <x v="0"/>
    <x v="1"/>
    <x v="1"/>
    <x v="0"/>
    <n v="20"/>
    <n v="10"/>
    <n v="20"/>
  </r>
  <r>
    <n v="3348"/>
    <s v="Fátima Lima"/>
    <x v="1"/>
    <d v="2024-06-22T00:00:00"/>
    <x v="0"/>
    <x v="1"/>
    <x v="2"/>
    <x v="1"/>
    <x v="1"/>
    <x v="1"/>
    <n v="0"/>
    <n v="0"/>
    <n v="5"/>
  </r>
  <r>
    <n v="3349"/>
    <s v="Geraldo Ribeiro"/>
    <x v="0"/>
    <d v="2024-06-23T00:00:00"/>
    <x v="1"/>
    <x v="0"/>
    <x v="0"/>
    <x v="0"/>
    <x v="0"/>
    <x v="0"/>
    <n v="20"/>
    <n v="3"/>
    <n v="62"/>
  </r>
  <r>
    <n v="3350"/>
    <s v="Hélio Martins"/>
    <x v="2"/>
    <d v="2024-06-24T00:00:00"/>
    <x v="0"/>
    <x v="2"/>
    <x v="1"/>
    <x v="1"/>
    <x v="1"/>
    <x v="0"/>
    <n v="20"/>
    <n v="15"/>
    <n v="15"/>
  </r>
  <r>
    <n v="3351"/>
    <s v="Íris Santos"/>
    <x v="1"/>
    <d v="2024-06-25T00:00:00"/>
    <x v="1"/>
    <x v="1"/>
    <x v="0"/>
    <x v="1"/>
    <x v="1"/>
    <x v="1"/>
    <n v="0"/>
    <n v="1"/>
    <n v="4"/>
  </r>
  <r>
    <n v="3352"/>
    <s v="João Marcelo"/>
    <x v="0"/>
    <d v="2024-06-26T00:00:00"/>
    <x v="0"/>
    <x v="0"/>
    <x v="2"/>
    <x v="0"/>
    <x v="0"/>
    <x v="0"/>
    <n v="20"/>
    <n v="7"/>
    <n v="58"/>
  </r>
  <r>
    <n v="3353"/>
    <s v="Larissa Gomes"/>
    <x v="2"/>
    <d v="2024-06-27T00:00:00"/>
    <x v="1"/>
    <x v="2"/>
    <x v="0"/>
    <x v="1"/>
    <x v="1"/>
    <x v="0"/>
    <n v="20"/>
    <n v="10"/>
    <n v="20"/>
  </r>
  <r>
    <n v="3354"/>
    <s v="Márcio Silva"/>
    <x v="1"/>
    <d v="2024-06-28T00:00:00"/>
    <x v="0"/>
    <x v="1"/>
    <x v="1"/>
    <x v="1"/>
    <x v="1"/>
    <x v="1"/>
    <n v="0"/>
    <n v="0"/>
    <n v="5"/>
  </r>
  <r>
    <n v="3355"/>
    <s v="Nadia Costa"/>
    <x v="0"/>
    <d v="2024-06-29T00:00:00"/>
    <x v="1"/>
    <x v="0"/>
    <x v="0"/>
    <x v="0"/>
    <x v="0"/>
    <x v="0"/>
    <n v="20"/>
    <n v="20"/>
    <n v="45"/>
  </r>
  <r>
    <n v="3356"/>
    <s v="Oscar Almeida"/>
    <x v="2"/>
    <d v="2024-06-30T00:00:00"/>
    <x v="0"/>
    <x v="2"/>
    <x v="2"/>
    <x v="1"/>
    <x v="1"/>
    <x v="0"/>
    <n v="20"/>
    <n v="15"/>
    <n v="15"/>
  </r>
  <r>
    <n v="3357"/>
    <s v="Patricia Soares"/>
    <x v="1"/>
    <d v="2024-07-01T00:00:00"/>
    <x v="1"/>
    <x v="1"/>
    <x v="0"/>
    <x v="1"/>
    <x v="1"/>
    <x v="1"/>
    <n v="0"/>
    <n v="1"/>
    <n v="4"/>
  </r>
  <r>
    <n v="3358"/>
    <s v="Quênia Barros"/>
    <x v="0"/>
    <d v="2024-07-02T00:00:00"/>
    <x v="0"/>
    <x v="0"/>
    <x v="1"/>
    <x v="0"/>
    <x v="0"/>
    <x v="0"/>
    <n v="20"/>
    <n v="3"/>
    <n v="62"/>
  </r>
  <r>
    <n v="3359"/>
    <s v="Rafael Torres"/>
    <x v="2"/>
    <d v="2024-07-03T00:00:00"/>
    <x v="1"/>
    <x v="2"/>
    <x v="0"/>
    <x v="1"/>
    <x v="1"/>
    <x v="0"/>
    <n v="20"/>
    <n v="10"/>
    <n v="20"/>
  </r>
  <r>
    <n v="3360"/>
    <s v="Silvia Nascimento"/>
    <x v="1"/>
    <d v="2024-07-04T00:00:00"/>
    <x v="0"/>
    <x v="1"/>
    <x v="2"/>
    <x v="1"/>
    <x v="1"/>
    <x v="1"/>
    <n v="0"/>
    <n v="0"/>
    <n v="5"/>
  </r>
  <r>
    <n v="3361"/>
    <s v="Tiago Mendes"/>
    <x v="0"/>
    <d v="2024-07-05T00:00:00"/>
    <x v="1"/>
    <x v="0"/>
    <x v="0"/>
    <x v="0"/>
    <x v="0"/>
    <x v="0"/>
    <n v="20"/>
    <n v="15"/>
    <n v="50"/>
  </r>
  <r>
    <n v="3362"/>
    <s v="Ursula Silva"/>
    <x v="2"/>
    <d v="2024-07-06T00:00:00"/>
    <x v="0"/>
    <x v="2"/>
    <x v="1"/>
    <x v="1"/>
    <x v="1"/>
    <x v="0"/>
    <n v="20"/>
    <n v="15"/>
    <n v="15"/>
  </r>
  <r>
    <n v="3363"/>
    <s v="Vanessa Moraes"/>
    <x v="1"/>
    <d v="2024-07-07T00:00:00"/>
    <x v="1"/>
    <x v="1"/>
    <x v="0"/>
    <x v="1"/>
    <x v="1"/>
    <x v="1"/>
    <n v="0"/>
    <n v="1"/>
    <n v="4"/>
  </r>
  <r>
    <n v="3364"/>
    <s v="Waldir Junior"/>
    <x v="0"/>
    <d v="2024-07-08T00:00:00"/>
    <x v="0"/>
    <x v="0"/>
    <x v="2"/>
    <x v="0"/>
    <x v="0"/>
    <x v="0"/>
    <n v="20"/>
    <n v="7"/>
    <n v="58"/>
  </r>
  <r>
    <n v="3365"/>
    <s v="Xavier Lopes"/>
    <x v="2"/>
    <d v="2024-07-09T00:00:00"/>
    <x v="1"/>
    <x v="2"/>
    <x v="0"/>
    <x v="1"/>
    <x v="1"/>
    <x v="0"/>
    <n v="20"/>
    <n v="10"/>
    <n v="20"/>
  </r>
  <r>
    <n v="3366"/>
    <s v="Yolanda Freitas"/>
    <x v="1"/>
    <d v="2024-07-10T00:00:00"/>
    <x v="0"/>
    <x v="1"/>
    <x v="0"/>
    <x v="1"/>
    <x v="1"/>
    <x v="1"/>
    <n v="0"/>
    <n v="0"/>
    <n v="5"/>
  </r>
  <r>
    <n v="3367"/>
    <s v="Zacarias Nunes"/>
    <x v="0"/>
    <d v="2024-07-11T00:00:00"/>
    <x v="1"/>
    <x v="0"/>
    <x v="2"/>
    <x v="0"/>
    <x v="0"/>
    <x v="0"/>
    <n v="20"/>
    <n v="7"/>
    <n v="58"/>
  </r>
  <r>
    <n v="3368"/>
    <s v="Ana Clara Barreto"/>
    <x v="2"/>
    <d v="2024-07-12T00:00:00"/>
    <x v="0"/>
    <x v="2"/>
    <x v="1"/>
    <x v="1"/>
    <x v="1"/>
    <x v="0"/>
    <n v="20"/>
    <n v="10"/>
    <n v="20"/>
  </r>
  <r>
    <n v="3369"/>
    <s v="Bruno Henrique"/>
    <x v="1"/>
    <d v="2024-07-13T00:00:00"/>
    <x v="1"/>
    <x v="1"/>
    <x v="2"/>
    <x v="1"/>
    <x v="1"/>
    <x v="1"/>
    <n v="0"/>
    <n v="1"/>
    <n v="4"/>
  </r>
  <r>
    <n v="3370"/>
    <s v="Carlos Eduardo"/>
    <x v="0"/>
    <d v="2024-07-14T00:00:00"/>
    <x v="0"/>
    <x v="0"/>
    <x v="0"/>
    <x v="0"/>
    <x v="0"/>
    <x v="0"/>
    <n v="20"/>
    <n v="15"/>
    <n v="50"/>
  </r>
  <r>
    <n v="3371"/>
    <s v="Débora Lima"/>
    <x v="2"/>
    <d v="2024-07-15T00:00:00"/>
    <x v="1"/>
    <x v="2"/>
    <x v="0"/>
    <x v="1"/>
    <x v="1"/>
    <x v="0"/>
    <n v="20"/>
    <n v="5"/>
    <n v="25"/>
  </r>
  <r>
    <n v="3372"/>
    <s v="Elisa Neves"/>
    <x v="1"/>
    <d v="2024-07-16T00:00:00"/>
    <x v="0"/>
    <x v="1"/>
    <x v="1"/>
    <x v="1"/>
    <x v="1"/>
    <x v="1"/>
    <n v="0"/>
    <n v="0"/>
    <n v="5"/>
  </r>
  <r>
    <n v="3373"/>
    <s v="Fabiano Gomes"/>
    <x v="0"/>
    <d v="2024-07-17T00:00:00"/>
    <x v="1"/>
    <x v="0"/>
    <x v="2"/>
    <x v="0"/>
    <x v="0"/>
    <x v="0"/>
    <n v="20"/>
    <n v="20"/>
    <n v="45"/>
  </r>
  <r>
    <n v="3374"/>
    <s v="Gisele Oliveira"/>
    <x v="2"/>
    <d v="2024-07-18T00:00:00"/>
    <x v="0"/>
    <x v="2"/>
    <x v="2"/>
    <x v="1"/>
    <x v="1"/>
    <x v="0"/>
    <n v="20"/>
    <n v="12"/>
    <n v="18"/>
  </r>
  <r>
    <n v="3375"/>
    <s v="Héctor Silva"/>
    <x v="1"/>
    <d v="2024-07-19T00:00:00"/>
    <x v="1"/>
    <x v="1"/>
    <x v="0"/>
    <x v="1"/>
    <x v="1"/>
    <x v="1"/>
    <n v="0"/>
    <n v="2"/>
    <n v="3"/>
  </r>
  <r>
    <n v="3376"/>
    <s v="Igor Martins"/>
    <x v="0"/>
    <d v="2024-07-20T00:00:00"/>
    <x v="0"/>
    <x v="0"/>
    <x v="1"/>
    <x v="0"/>
    <x v="0"/>
    <x v="0"/>
    <n v="20"/>
    <n v="5"/>
    <n v="60"/>
  </r>
  <r>
    <n v="3377"/>
    <s v="Joana Figueiredo"/>
    <x v="2"/>
    <d v="2024-07-21T00:00:00"/>
    <x v="1"/>
    <x v="2"/>
    <x v="0"/>
    <x v="1"/>
    <x v="1"/>
    <x v="0"/>
    <n v="20"/>
    <n v="10"/>
    <n v="20"/>
  </r>
  <r>
    <n v="3378"/>
    <s v="Kleber Machado"/>
    <x v="1"/>
    <d v="2024-07-22T00:00:00"/>
    <x v="0"/>
    <x v="1"/>
    <x v="2"/>
    <x v="1"/>
    <x v="1"/>
    <x v="1"/>
    <n v="0"/>
    <n v="0"/>
    <n v="5"/>
  </r>
  <r>
    <n v="3379"/>
    <s v="Luciana Santos"/>
    <x v="0"/>
    <d v="2024-07-23T00:00:00"/>
    <x v="1"/>
    <x v="0"/>
    <x v="0"/>
    <x v="0"/>
    <x v="0"/>
    <x v="0"/>
    <n v="20"/>
    <n v="3"/>
    <n v="62"/>
  </r>
  <r>
    <n v="3380"/>
    <s v="Marcos Teixeira"/>
    <x v="2"/>
    <d v="2024-07-24T00:00:00"/>
    <x v="0"/>
    <x v="2"/>
    <x v="1"/>
    <x v="1"/>
    <x v="1"/>
    <x v="0"/>
    <n v="20"/>
    <n v="15"/>
    <n v="15"/>
  </r>
  <r>
    <n v="3381"/>
    <s v="Natalia Costa"/>
    <x v="1"/>
    <d v="2024-07-25T00:00:00"/>
    <x v="1"/>
    <x v="1"/>
    <x v="0"/>
    <x v="1"/>
    <x v="1"/>
    <x v="1"/>
    <n v="0"/>
    <n v="1"/>
    <n v="4"/>
  </r>
  <r>
    <n v="3382"/>
    <s v="Oscar Ribeiro"/>
    <x v="0"/>
    <d v="2024-07-26T00:00:00"/>
    <x v="0"/>
    <x v="0"/>
    <x v="2"/>
    <x v="0"/>
    <x v="0"/>
    <x v="0"/>
    <n v="20"/>
    <n v="7"/>
    <n v="58"/>
  </r>
  <r>
    <n v="3383"/>
    <s v="Patricia Almeida"/>
    <x v="2"/>
    <d v="2024-07-27T00:00:00"/>
    <x v="1"/>
    <x v="2"/>
    <x v="0"/>
    <x v="1"/>
    <x v="1"/>
    <x v="0"/>
    <n v="20"/>
    <n v="10"/>
    <n v="20"/>
  </r>
  <r>
    <n v="3384"/>
    <s v="Quirino Junior"/>
    <x v="1"/>
    <d v="2024-07-28T00:00:00"/>
    <x v="0"/>
    <x v="1"/>
    <x v="1"/>
    <x v="1"/>
    <x v="1"/>
    <x v="1"/>
    <n v="0"/>
    <n v="0"/>
    <n v="5"/>
  </r>
  <r>
    <n v="3385"/>
    <s v="Renata Machado"/>
    <x v="0"/>
    <d v="2024-07-29T00:00:00"/>
    <x v="1"/>
    <x v="0"/>
    <x v="0"/>
    <x v="0"/>
    <x v="0"/>
    <x v="0"/>
    <n v="20"/>
    <n v="20"/>
    <n v="45"/>
  </r>
  <r>
    <n v="3386"/>
    <s v="Sônia Alves"/>
    <x v="2"/>
    <d v="2024-07-30T00:00:00"/>
    <x v="0"/>
    <x v="2"/>
    <x v="2"/>
    <x v="1"/>
    <x v="1"/>
    <x v="0"/>
    <n v="20"/>
    <n v="15"/>
    <n v="15"/>
  </r>
  <r>
    <n v="3387"/>
    <s v="Tiago Nunes"/>
    <x v="1"/>
    <d v="2024-07-31T00:00:00"/>
    <x v="1"/>
    <x v="1"/>
    <x v="0"/>
    <x v="1"/>
    <x v="1"/>
    <x v="1"/>
    <n v="0"/>
    <n v="1"/>
    <n v="4"/>
  </r>
  <r>
    <n v="3388"/>
    <s v="Ulysses Pereira"/>
    <x v="0"/>
    <d v="2024-08-01T00:00:00"/>
    <x v="0"/>
    <x v="0"/>
    <x v="1"/>
    <x v="0"/>
    <x v="0"/>
    <x v="0"/>
    <n v="20"/>
    <n v="3"/>
    <n v="62"/>
  </r>
  <r>
    <n v="3389"/>
    <s v="Vanessa Lima"/>
    <x v="2"/>
    <d v="2024-08-02T00:00:00"/>
    <x v="1"/>
    <x v="2"/>
    <x v="0"/>
    <x v="1"/>
    <x v="1"/>
    <x v="0"/>
    <n v="20"/>
    <n v="10"/>
    <n v="20"/>
  </r>
  <r>
    <n v="3390"/>
    <s v="Wagner Santos"/>
    <x v="1"/>
    <d v="2024-08-03T00:00:00"/>
    <x v="0"/>
    <x v="1"/>
    <x v="2"/>
    <x v="1"/>
    <x v="1"/>
    <x v="1"/>
    <n v="0"/>
    <n v="0"/>
    <n v="5"/>
  </r>
  <r>
    <n v="3391"/>
    <s v="Xuxa Meneghel"/>
    <x v="0"/>
    <d v="2024-08-04T00:00:00"/>
    <x v="1"/>
    <x v="0"/>
    <x v="0"/>
    <x v="0"/>
    <x v="0"/>
    <x v="0"/>
    <n v="20"/>
    <n v="15"/>
    <n v="50"/>
  </r>
  <r>
    <n v="3392"/>
    <s v="Yasmin Silva"/>
    <x v="2"/>
    <d v="2024-08-05T00:00:00"/>
    <x v="0"/>
    <x v="2"/>
    <x v="1"/>
    <x v="1"/>
    <x v="1"/>
    <x v="0"/>
    <n v="20"/>
    <n v="15"/>
    <n v="15"/>
  </r>
  <r>
    <n v="3393"/>
    <s v="Zacarias de Souza"/>
    <x v="1"/>
    <d v="2024-08-06T00:00:00"/>
    <x v="1"/>
    <x v="1"/>
    <x v="0"/>
    <x v="1"/>
    <x v="1"/>
    <x v="1"/>
    <n v="0"/>
    <n v="1"/>
    <n v="4"/>
  </r>
  <r>
    <n v="3394"/>
    <s v="André Lima"/>
    <x v="0"/>
    <d v="2024-08-07T00:00:00"/>
    <x v="0"/>
    <x v="0"/>
    <x v="2"/>
    <x v="0"/>
    <x v="0"/>
    <x v="0"/>
    <n v="20"/>
    <n v="7"/>
    <n v="58"/>
  </r>
  <r>
    <n v="3395"/>
    <s v="Bianca Freitas"/>
    <x v="2"/>
    <d v="2024-08-08T00:00:00"/>
    <x v="1"/>
    <x v="2"/>
    <x v="0"/>
    <x v="1"/>
    <x v="1"/>
    <x v="0"/>
    <n v="20"/>
    <n v="10"/>
    <n v="20"/>
  </r>
  <r>
    <n v="3396"/>
    <s v="Caio Mendes"/>
    <x v="1"/>
    <d v="2024-08-09T00:00:00"/>
    <x v="0"/>
    <x v="1"/>
    <x v="1"/>
    <x v="1"/>
    <x v="1"/>
    <x v="1"/>
    <n v="0"/>
    <n v="0"/>
    <n v="5"/>
  </r>
  <r>
    <n v="3397"/>
    <s v="Daniela Moura"/>
    <x v="0"/>
    <d v="2024-08-10T00:00:00"/>
    <x v="1"/>
    <x v="0"/>
    <x v="0"/>
    <x v="0"/>
    <x v="0"/>
    <x v="0"/>
    <n v="20"/>
    <n v="20"/>
    <n v="45"/>
  </r>
  <r>
    <n v="3398"/>
    <s v="Eduardo Costa"/>
    <x v="2"/>
    <d v="2024-08-11T00:00:00"/>
    <x v="0"/>
    <x v="2"/>
    <x v="2"/>
    <x v="1"/>
    <x v="1"/>
    <x v="0"/>
    <n v="20"/>
    <n v="15"/>
    <n v="15"/>
  </r>
  <r>
    <n v="3399"/>
    <s v="Fernanda Gomes"/>
    <x v="1"/>
    <d v="2024-08-12T00:00:00"/>
    <x v="1"/>
    <x v="1"/>
    <x v="0"/>
    <x v="1"/>
    <x v="1"/>
    <x v="1"/>
    <n v="0"/>
    <n v="1"/>
    <n v="4"/>
  </r>
  <r>
    <n v="3400"/>
    <s v="Guilherme Souza"/>
    <x v="0"/>
    <d v="2024-08-13T00:00:00"/>
    <x v="0"/>
    <x v="0"/>
    <x v="1"/>
    <x v="0"/>
    <x v="0"/>
    <x v="0"/>
    <n v="20"/>
    <n v="5"/>
    <n v="60"/>
  </r>
  <r>
    <n v="3401"/>
    <s v="Helena Ribeiro"/>
    <x v="2"/>
    <d v="2024-08-14T00:00:00"/>
    <x v="1"/>
    <x v="2"/>
    <x v="0"/>
    <x v="1"/>
    <x v="1"/>
    <x v="0"/>
    <n v="20"/>
    <n v="10"/>
    <n v="20"/>
  </r>
  <r>
    <n v="3402"/>
    <s v="Igor Santos"/>
    <x v="1"/>
    <d v="2024-08-15T00:00:00"/>
    <x v="0"/>
    <x v="1"/>
    <x v="2"/>
    <x v="1"/>
    <x v="1"/>
    <x v="1"/>
    <n v="0"/>
    <n v="0"/>
    <n v="5"/>
  </r>
  <r>
    <n v="3403"/>
    <s v="João Carvalho"/>
    <x v="0"/>
    <d v="2024-08-16T00:00:00"/>
    <x v="1"/>
    <x v="0"/>
    <x v="0"/>
    <x v="0"/>
    <x v="0"/>
    <x v="0"/>
    <n v="20"/>
    <n v="3"/>
    <n v="62"/>
  </r>
  <r>
    <n v="3404"/>
    <s v="Klara Fagundes"/>
    <x v="2"/>
    <d v="2024-08-17T00:00:00"/>
    <x v="0"/>
    <x v="2"/>
    <x v="1"/>
    <x v="1"/>
    <x v="1"/>
    <x v="0"/>
    <n v="20"/>
    <n v="15"/>
    <n v="15"/>
  </r>
  <r>
    <n v="3405"/>
    <s v="Lúcia Mendonça"/>
    <x v="1"/>
    <d v="2024-08-18T00:00:00"/>
    <x v="1"/>
    <x v="1"/>
    <x v="0"/>
    <x v="1"/>
    <x v="1"/>
    <x v="1"/>
    <n v="0"/>
    <n v="1"/>
    <n v="4"/>
  </r>
  <r>
    <n v="3406"/>
    <s v="Marcelo Novaes"/>
    <x v="1"/>
    <d v="2024-08-19T00:00:00"/>
    <x v="0"/>
    <x v="1"/>
    <x v="0"/>
    <x v="1"/>
    <x v="1"/>
    <x v="1"/>
    <n v="0"/>
    <n v="0"/>
    <n v="5"/>
  </r>
  <r>
    <n v="3407"/>
    <s v="Nina Pacheco"/>
    <x v="0"/>
    <d v="2024-08-20T00:00:00"/>
    <x v="1"/>
    <x v="0"/>
    <x v="2"/>
    <x v="0"/>
    <x v="0"/>
    <x v="0"/>
    <n v="20"/>
    <n v="7"/>
    <n v="58"/>
  </r>
  <r>
    <n v="3408"/>
    <s v="Olívia Rios"/>
    <x v="2"/>
    <d v="2024-08-21T00:00:00"/>
    <x v="0"/>
    <x v="2"/>
    <x v="1"/>
    <x v="1"/>
    <x v="1"/>
    <x v="0"/>
    <n v="20"/>
    <n v="10"/>
    <n v="20"/>
  </r>
  <r>
    <n v="3409"/>
    <s v="Paulo Quintana"/>
    <x v="1"/>
    <d v="2024-08-22T00:00:00"/>
    <x v="1"/>
    <x v="1"/>
    <x v="2"/>
    <x v="1"/>
    <x v="1"/>
    <x v="1"/>
    <n v="0"/>
    <n v="1"/>
    <n v="4"/>
  </r>
  <r>
    <n v="3410"/>
    <s v="Raquel Domingos"/>
    <x v="0"/>
    <d v="2024-08-23T00:00:00"/>
    <x v="0"/>
    <x v="0"/>
    <x v="0"/>
    <x v="0"/>
    <x v="0"/>
    <x v="0"/>
    <n v="20"/>
    <n v="15"/>
    <n v="50"/>
  </r>
  <r>
    <n v="3411"/>
    <s v="Samuel Viana"/>
    <x v="2"/>
    <d v="2024-08-24T00:00:00"/>
    <x v="1"/>
    <x v="2"/>
    <x v="0"/>
    <x v="1"/>
    <x v="1"/>
    <x v="0"/>
    <n v="20"/>
    <n v="5"/>
    <n v="25"/>
  </r>
  <r>
    <n v="3412"/>
    <s v="Tatiane Rocha"/>
    <x v="1"/>
    <d v="2024-08-25T00:00:00"/>
    <x v="0"/>
    <x v="1"/>
    <x v="1"/>
    <x v="1"/>
    <x v="1"/>
    <x v="1"/>
    <n v="0"/>
    <n v="0"/>
    <n v="5"/>
  </r>
  <r>
    <n v="3413"/>
    <s v="Ulysses Farias"/>
    <x v="0"/>
    <d v="2024-08-26T00:00:00"/>
    <x v="1"/>
    <x v="0"/>
    <x v="2"/>
    <x v="0"/>
    <x v="0"/>
    <x v="0"/>
    <n v="20"/>
    <n v="20"/>
    <n v="45"/>
  </r>
  <r>
    <n v="3414"/>
    <s v="Vanessa Moreira"/>
    <x v="2"/>
    <d v="2024-08-27T00:00:00"/>
    <x v="0"/>
    <x v="2"/>
    <x v="2"/>
    <x v="1"/>
    <x v="1"/>
    <x v="0"/>
    <n v="20"/>
    <n v="12"/>
    <n v="18"/>
  </r>
  <r>
    <n v="3415"/>
    <s v="William Carvalho"/>
    <x v="1"/>
    <d v="2024-08-28T00:00:00"/>
    <x v="1"/>
    <x v="1"/>
    <x v="0"/>
    <x v="1"/>
    <x v="1"/>
    <x v="1"/>
    <n v="0"/>
    <n v="2"/>
    <n v="3"/>
  </r>
  <r>
    <n v="3416"/>
    <s v="Ximena Barros"/>
    <x v="0"/>
    <d v="2024-08-29T00:00:00"/>
    <x v="0"/>
    <x v="0"/>
    <x v="1"/>
    <x v="0"/>
    <x v="0"/>
    <x v="0"/>
    <n v="20"/>
    <n v="5"/>
    <n v="60"/>
  </r>
  <r>
    <n v="3417"/>
    <s v="Yara Machado"/>
    <x v="2"/>
    <d v="2024-08-30T00:00:00"/>
    <x v="1"/>
    <x v="2"/>
    <x v="0"/>
    <x v="1"/>
    <x v="1"/>
    <x v="0"/>
    <n v="20"/>
    <n v="10"/>
    <n v="20"/>
  </r>
  <r>
    <n v="3418"/>
    <s v="Zacarias Costa"/>
    <x v="1"/>
    <d v="2024-08-31T00:00:00"/>
    <x v="0"/>
    <x v="1"/>
    <x v="2"/>
    <x v="1"/>
    <x v="1"/>
    <x v="1"/>
    <n v="0"/>
    <n v="0"/>
    <n v="5"/>
  </r>
  <r>
    <n v="3419"/>
    <s v="André Lopes"/>
    <x v="0"/>
    <d v="2024-09-01T00:00:00"/>
    <x v="1"/>
    <x v="0"/>
    <x v="0"/>
    <x v="0"/>
    <x v="0"/>
    <x v="0"/>
    <n v="20"/>
    <n v="3"/>
    <n v="62"/>
  </r>
  <r>
    <n v="3420"/>
    <s v="Beatriz Souza"/>
    <x v="2"/>
    <d v="2024-09-02T00:00:00"/>
    <x v="0"/>
    <x v="2"/>
    <x v="1"/>
    <x v="1"/>
    <x v="1"/>
    <x v="0"/>
    <n v="20"/>
    <n v="15"/>
    <n v="15"/>
  </r>
  <r>
    <n v="3421"/>
    <s v="Caio Pereira"/>
    <x v="1"/>
    <d v="2024-09-03T00:00:00"/>
    <x v="1"/>
    <x v="1"/>
    <x v="0"/>
    <x v="1"/>
    <x v="1"/>
    <x v="1"/>
    <n v="0"/>
    <n v="1"/>
    <n v="4"/>
  </r>
  <r>
    <n v="3422"/>
    <s v="Daniela Araújo"/>
    <x v="0"/>
    <d v="2024-09-04T00:00:00"/>
    <x v="0"/>
    <x v="0"/>
    <x v="2"/>
    <x v="0"/>
    <x v="0"/>
    <x v="0"/>
    <n v="20"/>
    <n v="7"/>
    <n v="58"/>
  </r>
  <r>
    <n v="3423"/>
    <s v="Eduardo Santos"/>
    <x v="2"/>
    <d v="2024-09-05T00:00:00"/>
    <x v="1"/>
    <x v="2"/>
    <x v="0"/>
    <x v="1"/>
    <x v="1"/>
    <x v="0"/>
    <n v="20"/>
    <n v="10"/>
    <n v="20"/>
  </r>
  <r>
    <n v="3424"/>
    <s v="Fernanda Lima"/>
    <x v="1"/>
    <d v="2024-09-06T00:00:00"/>
    <x v="0"/>
    <x v="1"/>
    <x v="1"/>
    <x v="1"/>
    <x v="1"/>
    <x v="1"/>
    <n v="0"/>
    <n v="0"/>
    <n v="5"/>
  </r>
  <r>
    <n v="3425"/>
    <s v="Gabriel Teixeira"/>
    <x v="0"/>
    <d v="2024-09-07T00:00:00"/>
    <x v="1"/>
    <x v="0"/>
    <x v="0"/>
    <x v="0"/>
    <x v="0"/>
    <x v="0"/>
    <n v="20"/>
    <n v="20"/>
    <n v="45"/>
  </r>
  <r>
    <n v="3426"/>
    <s v="Helena Ribeiro"/>
    <x v="2"/>
    <d v="2024-09-08T00:00:00"/>
    <x v="0"/>
    <x v="2"/>
    <x v="2"/>
    <x v="1"/>
    <x v="1"/>
    <x v="0"/>
    <n v="20"/>
    <n v="15"/>
    <n v="15"/>
  </r>
  <r>
    <n v="3427"/>
    <s v="Igor Mendes"/>
    <x v="1"/>
    <d v="2024-09-09T00:00:00"/>
    <x v="1"/>
    <x v="1"/>
    <x v="0"/>
    <x v="1"/>
    <x v="1"/>
    <x v="1"/>
    <n v="0"/>
    <n v="1"/>
    <n v="4"/>
  </r>
  <r>
    <n v="3428"/>
    <s v="Joana Silveira"/>
    <x v="0"/>
    <d v="2024-09-10T00:00:00"/>
    <x v="0"/>
    <x v="0"/>
    <x v="1"/>
    <x v="0"/>
    <x v="0"/>
    <x v="0"/>
    <n v="20"/>
    <n v="3"/>
    <n v="62"/>
  </r>
  <r>
    <n v="3429"/>
    <s v="Lucas Martins"/>
    <x v="2"/>
    <d v="2024-09-11T00:00:00"/>
    <x v="1"/>
    <x v="2"/>
    <x v="0"/>
    <x v="1"/>
    <x v="1"/>
    <x v="0"/>
    <n v="20"/>
    <n v="10"/>
    <n v="20"/>
  </r>
  <r>
    <n v="3430"/>
    <s v="Marcela Gouveia"/>
    <x v="1"/>
    <d v="2024-09-12T00:00:00"/>
    <x v="0"/>
    <x v="1"/>
    <x v="2"/>
    <x v="1"/>
    <x v="1"/>
    <x v="1"/>
    <n v="0"/>
    <n v="0"/>
    <n v="5"/>
  </r>
  <r>
    <n v="3431"/>
    <s v="Nicolas Borges"/>
    <x v="0"/>
    <d v="2024-09-13T00:00:00"/>
    <x v="1"/>
    <x v="0"/>
    <x v="0"/>
    <x v="0"/>
    <x v="0"/>
    <x v="0"/>
    <n v="20"/>
    <n v="15"/>
    <n v="50"/>
  </r>
  <r>
    <n v="3432"/>
    <s v="Olivia Freitas"/>
    <x v="2"/>
    <d v="2024-09-14T00:00:00"/>
    <x v="0"/>
    <x v="2"/>
    <x v="1"/>
    <x v="1"/>
    <x v="1"/>
    <x v="0"/>
    <n v="20"/>
    <n v="15"/>
    <n v="15"/>
  </r>
  <r>
    <n v="3433"/>
    <s v="Paulo Nogueira"/>
    <x v="1"/>
    <d v="2024-09-15T00:00:00"/>
    <x v="1"/>
    <x v="1"/>
    <x v="0"/>
    <x v="1"/>
    <x v="1"/>
    <x v="1"/>
    <n v="0"/>
    <n v="1"/>
    <n v="4"/>
  </r>
  <r>
    <n v="3434"/>
    <s v="Raquel Andrade"/>
    <x v="0"/>
    <d v="2024-09-16T00:00:00"/>
    <x v="0"/>
    <x v="0"/>
    <x v="2"/>
    <x v="0"/>
    <x v="0"/>
    <x v="0"/>
    <n v="20"/>
    <n v="7"/>
    <n v="58"/>
  </r>
  <r>
    <n v="3435"/>
    <s v="Sônia Carvalho"/>
    <x v="2"/>
    <d v="2024-09-17T00:00:00"/>
    <x v="1"/>
    <x v="2"/>
    <x v="0"/>
    <x v="1"/>
    <x v="1"/>
    <x v="0"/>
    <n v="20"/>
    <n v="10"/>
    <n v="20"/>
  </r>
  <r>
    <n v="3436"/>
    <s v="Tiago Rodrigues"/>
    <x v="1"/>
    <d v="2024-09-18T00:00:00"/>
    <x v="0"/>
    <x v="1"/>
    <x v="0"/>
    <x v="1"/>
    <x v="1"/>
    <x v="1"/>
    <n v="0"/>
    <n v="0"/>
    <n v="5"/>
  </r>
  <r>
    <n v="3437"/>
    <s v="Ursula Monteiro"/>
    <x v="0"/>
    <d v="2024-09-19T00:00:00"/>
    <x v="1"/>
    <x v="0"/>
    <x v="2"/>
    <x v="0"/>
    <x v="0"/>
    <x v="0"/>
    <n v="20"/>
    <n v="7"/>
    <n v="58"/>
  </r>
  <r>
    <n v="3438"/>
    <s v="Vanessa Pereira"/>
    <x v="2"/>
    <d v="2024-09-20T00:00:00"/>
    <x v="0"/>
    <x v="2"/>
    <x v="1"/>
    <x v="1"/>
    <x v="1"/>
    <x v="0"/>
    <n v="20"/>
    <n v="10"/>
    <n v="20"/>
  </r>
  <r>
    <n v="3439"/>
    <s v="Walter Silva"/>
    <x v="1"/>
    <d v="2024-09-21T00:00:00"/>
    <x v="1"/>
    <x v="1"/>
    <x v="2"/>
    <x v="1"/>
    <x v="1"/>
    <x v="1"/>
    <n v="0"/>
    <n v="1"/>
    <n v="4"/>
  </r>
  <r>
    <n v="3440"/>
    <s v="Xavier Almeida"/>
    <x v="0"/>
    <d v="2024-09-22T00:00:00"/>
    <x v="0"/>
    <x v="0"/>
    <x v="0"/>
    <x v="0"/>
    <x v="0"/>
    <x v="0"/>
    <n v="20"/>
    <n v="15"/>
    <n v="50"/>
  </r>
  <r>
    <n v="3441"/>
    <s v="Yasmine Correia"/>
    <x v="2"/>
    <d v="2024-09-23T00:00:00"/>
    <x v="1"/>
    <x v="2"/>
    <x v="0"/>
    <x v="1"/>
    <x v="1"/>
    <x v="0"/>
    <n v="20"/>
    <n v="5"/>
    <n v="25"/>
  </r>
  <r>
    <n v="3442"/>
    <s v="Zacarias Almeida"/>
    <x v="1"/>
    <d v="2024-09-24T00:00:00"/>
    <x v="0"/>
    <x v="1"/>
    <x v="1"/>
    <x v="1"/>
    <x v="1"/>
    <x v="1"/>
    <n v="0"/>
    <n v="0"/>
    <n v="5"/>
  </r>
  <r>
    <n v="3443"/>
    <s v="Amanda Costa"/>
    <x v="0"/>
    <d v="2024-09-25T00:00:00"/>
    <x v="1"/>
    <x v="0"/>
    <x v="2"/>
    <x v="0"/>
    <x v="0"/>
    <x v="0"/>
    <n v="20"/>
    <n v="20"/>
    <n v="45"/>
  </r>
  <r>
    <n v="3444"/>
    <s v="Bruno Ferreira"/>
    <x v="2"/>
    <d v="2024-09-26T00:00:00"/>
    <x v="0"/>
    <x v="2"/>
    <x v="2"/>
    <x v="1"/>
    <x v="1"/>
    <x v="0"/>
    <n v="20"/>
    <n v="12"/>
    <n v="18"/>
  </r>
  <r>
    <n v="3445"/>
    <s v="Carla Dias"/>
    <x v="1"/>
    <d v="2024-09-27T00:00:00"/>
    <x v="1"/>
    <x v="1"/>
    <x v="0"/>
    <x v="1"/>
    <x v="1"/>
    <x v="1"/>
    <n v="0"/>
    <n v="2"/>
    <n v="3"/>
  </r>
  <r>
    <n v="3446"/>
    <s v="Diogo Martins"/>
    <x v="0"/>
    <d v="2024-09-28T00:00:00"/>
    <x v="0"/>
    <x v="0"/>
    <x v="1"/>
    <x v="0"/>
    <x v="0"/>
    <x v="0"/>
    <n v="20"/>
    <n v="5"/>
    <n v="60"/>
  </r>
  <r>
    <n v="3447"/>
    <s v="Elisa Campos"/>
    <x v="2"/>
    <d v="2024-09-29T00:00:00"/>
    <x v="1"/>
    <x v="2"/>
    <x v="0"/>
    <x v="1"/>
    <x v="1"/>
    <x v="0"/>
    <n v="20"/>
    <n v="10"/>
    <n v="20"/>
  </r>
  <r>
    <n v="3448"/>
    <s v="Fabiana Lima"/>
    <x v="1"/>
    <d v="2024-09-30T00:00:00"/>
    <x v="0"/>
    <x v="1"/>
    <x v="2"/>
    <x v="1"/>
    <x v="1"/>
    <x v="1"/>
    <n v="0"/>
    <n v="0"/>
    <n v="5"/>
  </r>
  <r>
    <n v="3449"/>
    <s v="Gabriel Santos"/>
    <x v="0"/>
    <d v="2024-10-01T00:00:00"/>
    <x v="1"/>
    <x v="0"/>
    <x v="0"/>
    <x v="0"/>
    <x v="0"/>
    <x v="0"/>
    <n v="20"/>
    <n v="3"/>
    <n v="62"/>
  </r>
  <r>
    <n v="3450"/>
    <s v="Helena Ferreira"/>
    <x v="2"/>
    <d v="2024-10-02T00:00:00"/>
    <x v="0"/>
    <x v="2"/>
    <x v="1"/>
    <x v="1"/>
    <x v="1"/>
    <x v="0"/>
    <n v="20"/>
    <n v="15"/>
    <n v="15"/>
  </r>
  <r>
    <n v="3451"/>
    <s v="Ígor Nunes"/>
    <x v="1"/>
    <d v="2024-10-03T00:00:00"/>
    <x v="1"/>
    <x v="1"/>
    <x v="0"/>
    <x v="1"/>
    <x v="1"/>
    <x v="1"/>
    <n v="0"/>
    <n v="1"/>
    <n v="4"/>
  </r>
  <r>
    <n v="3452"/>
    <s v="Joana Silveira"/>
    <x v="0"/>
    <d v="2024-10-04T00:00:00"/>
    <x v="0"/>
    <x v="0"/>
    <x v="2"/>
    <x v="0"/>
    <x v="0"/>
    <x v="0"/>
    <n v="20"/>
    <n v="7"/>
    <n v="58"/>
  </r>
  <r>
    <n v="3453"/>
    <s v="Kléber Oliveira"/>
    <x v="2"/>
    <d v="2024-10-05T00:00:00"/>
    <x v="1"/>
    <x v="2"/>
    <x v="0"/>
    <x v="1"/>
    <x v="1"/>
    <x v="0"/>
    <n v="20"/>
    <n v="10"/>
    <n v="20"/>
  </r>
  <r>
    <n v="3454"/>
    <s v="Luciana Morais"/>
    <x v="1"/>
    <d v="2024-10-06T00:00:00"/>
    <x v="0"/>
    <x v="1"/>
    <x v="1"/>
    <x v="1"/>
    <x v="1"/>
    <x v="1"/>
    <n v="0"/>
    <n v="0"/>
    <n v="5"/>
  </r>
  <r>
    <n v="3455"/>
    <s v="Marcos Vinícius"/>
    <x v="0"/>
    <d v="2024-10-07T00:00:00"/>
    <x v="1"/>
    <x v="0"/>
    <x v="0"/>
    <x v="0"/>
    <x v="0"/>
    <x v="0"/>
    <n v="20"/>
    <n v="20"/>
    <n v="45"/>
  </r>
  <r>
    <n v="3456"/>
    <s v="Natália Barros"/>
    <x v="2"/>
    <d v="2024-10-08T00:00:00"/>
    <x v="0"/>
    <x v="2"/>
    <x v="2"/>
    <x v="1"/>
    <x v="1"/>
    <x v="0"/>
    <n v="20"/>
    <n v="15"/>
    <n v="15"/>
  </r>
  <r>
    <n v="3457"/>
    <s v="Oscar Sampaio"/>
    <x v="1"/>
    <d v="2024-10-09T00:00:00"/>
    <x v="1"/>
    <x v="1"/>
    <x v="0"/>
    <x v="1"/>
    <x v="1"/>
    <x v="1"/>
    <n v="0"/>
    <n v="1"/>
    <n v="4"/>
  </r>
  <r>
    <n v="3458"/>
    <s v="Patrícia Leite"/>
    <x v="0"/>
    <d v="2024-10-10T00:00:00"/>
    <x v="0"/>
    <x v="0"/>
    <x v="1"/>
    <x v="0"/>
    <x v="0"/>
    <x v="0"/>
    <n v="20"/>
    <n v="3"/>
    <n v="62"/>
  </r>
  <r>
    <n v="3459"/>
    <s v="Quênia Rocha"/>
    <x v="2"/>
    <d v="2024-10-11T00:00:00"/>
    <x v="1"/>
    <x v="2"/>
    <x v="0"/>
    <x v="1"/>
    <x v="1"/>
    <x v="0"/>
    <n v="20"/>
    <n v="10"/>
    <n v="20"/>
  </r>
  <r>
    <n v="3460"/>
    <s v="Rafael Torres"/>
    <x v="1"/>
    <d v="2024-10-12T00:00:00"/>
    <x v="0"/>
    <x v="1"/>
    <x v="2"/>
    <x v="1"/>
    <x v="1"/>
    <x v="1"/>
    <n v="0"/>
    <n v="0"/>
    <n v="5"/>
  </r>
  <r>
    <n v="3461"/>
    <s v="Sandra Gouveia"/>
    <x v="0"/>
    <d v="2024-10-13T00:00:00"/>
    <x v="1"/>
    <x v="0"/>
    <x v="0"/>
    <x v="0"/>
    <x v="0"/>
    <x v="0"/>
    <n v="20"/>
    <n v="15"/>
    <n v="50"/>
  </r>
  <r>
    <n v="3462"/>
    <s v="Tiago Lacerda"/>
    <x v="2"/>
    <d v="2024-10-14T00:00:00"/>
    <x v="0"/>
    <x v="2"/>
    <x v="1"/>
    <x v="1"/>
    <x v="1"/>
    <x v="0"/>
    <n v="20"/>
    <n v="15"/>
    <n v="15"/>
  </r>
  <r>
    <n v="3463"/>
    <s v="Ursula Fonseca"/>
    <x v="1"/>
    <d v="2024-10-15T00:00:00"/>
    <x v="1"/>
    <x v="1"/>
    <x v="0"/>
    <x v="1"/>
    <x v="1"/>
    <x v="1"/>
    <n v="0"/>
    <n v="1"/>
    <n v="4"/>
  </r>
  <r>
    <n v="3464"/>
    <s v="Vanessa Andrade"/>
    <x v="0"/>
    <d v="2024-10-16T00:00:00"/>
    <x v="0"/>
    <x v="0"/>
    <x v="2"/>
    <x v="0"/>
    <x v="0"/>
    <x v="0"/>
    <n v="20"/>
    <n v="7"/>
    <n v="58"/>
  </r>
  <r>
    <n v="3465"/>
    <s v="William Castro"/>
    <x v="2"/>
    <d v="2024-10-17T00:00:00"/>
    <x v="1"/>
    <x v="2"/>
    <x v="0"/>
    <x v="1"/>
    <x v="1"/>
    <x v="0"/>
    <n v="20"/>
    <n v="10"/>
    <n v="20"/>
  </r>
  <r>
    <n v="3466"/>
    <s v="Xavier Monteiro"/>
    <x v="1"/>
    <d v="2024-10-18T00:00:00"/>
    <x v="0"/>
    <x v="1"/>
    <x v="1"/>
    <x v="1"/>
    <x v="1"/>
    <x v="1"/>
    <n v="0"/>
    <n v="0"/>
    <n v="5"/>
  </r>
  <r>
    <n v="3467"/>
    <s v="Yasmin Figueira"/>
    <x v="0"/>
    <d v="2024-10-19T00:00:00"/>
    <x v="1"/>
    <x v="0"/>
    <x v="0"/>
    <x v="0"/>
    <x v="0"/>
    <x v="0"/>
    <n v="20"/>
    <n v="15"/>
    <n v="50"/>
  </r>
  <r>
    <n v="3468"/>
    <s v="Zacarias Mendonça"/>
    <x v="2"/>
    <d v="2024-10-20T00:00:00"/>
    <x v="0"/>
    <x v="2"/>
    <x v="2"/>
    <x v="1"/>
    <x v="1"/>
    <x v="0"/>
    <n v="20"/>
    <n v="12"/>
    <n v="18"/>
  </r>
  <r>
    <n v="3469"/>
    <s v="Amanda Menezes"/>
    <x v="1"/>
    <d v="2024-10-21T00:00:00"/>
    <x v="1"/>
    <x v="1"/>
    <x v="0"/>
    <x v="1"/>
    <x v="1"/>
    <x v="1"/>
    <n v="0"/>
    <n v="2"/>
    <n v="3"/>
  </r>
  <r>
    <n v="3470"/>
    <s v="Bruno Santos"/>
    <x v="0"/>
    <d v="2024-10-22T00:00:00"/>
    <x v="0"/>
    <x v="0"/>
    <x v="1"/>
    <x v="0"/>
    <x v="0"/>
    <x v="0"/>
    <n v="20"/>
    <n v="5"/>
    <n v="60"/>
  </r>
  <r>
    <n v="3471"/>
    <s v="Carla Ferreira"/>
    <x v="2"/>
    <d v="2024-10-23T00:00:00"/>
    <x v="1"/>
    <x v="2"/>
    <x v="0"/>
    <x v="1"/>
    <x v="1"/>
    <x v="0"/>
    <n v="20"/>
    <n v="10"/>
    <n v="20"/>
  </r>
  <r>
    <n v="3472"/>
    <s v="Diogo Alves"/>
    <x v="1"/>
    <d v="2024-10-24T00:00:00"/>
    <x v="0"/>
    <x v="1"/>
    <x v="2"/>
    <x v="1"/>
    <x v="1"/>
    <x v="1"/>
    <n v="0"/>
    <n v="0"/>
    <n v="5"/>
  </r>
  <r>
    <n v="3473"/>
    <s v="Elisa Neves"/>
    <x v="0"/>
    <d v="2024-10-25T00:00:00"/>
    <x v="1"/>
    <x v="0"/>
    <x v="0"/>
    <x v="0"/>
    <x v="0"/>
    <x v="0"/>
    <n v="20"/>
    <n v="3"/>
    <n v="62"/>
  </r>
  <r>
    <n v="3474"/>
    <s v="Fabiano Pires"/>
    <x v="2"/>
    <d v="2024-10-26T00:00:00"/>
    <x v="0"/>
    <x v="2"/>
    <x v="1"/>
    <x v="1"/>
    <x v="1"/>
    <x v="0"/>
    <n v="20"/>
    <n v="15"/>
    <n v="15"/>
  </r>
  <r>
    <n v="3475"/>
    <s v="Giovana Ribeiro"/>
    <x v="1"/>
    <d v="2024-10-27T00:00:00"/>
    <x v="1"/>
    <x v="1"/>
    <x v="0"/>
    <x v="1"/>
    <x v="1"/>
    <x v="1"/>
    <n v="0"/>
    <n v="1"/>
    <n v="4"/>
  </r>
  <r>
    <n v="3476"/>
    <s v="Hélio Costa"/>
    <x v="0"/>
    <d v="2024-10-28T00:00:00"/>
    <x v="0"/>
    <x v="0"/>
    <x v="2"/>
    <x v="0"/>
    <x v="0"/>
    <x v="0"/>
    <n v="20"/>
    <n v="7"/>
    <n v="58"/>
  </r>
  <r>
    <n v="3477"/>
    <s v="Íris Loureiro"/>
    <x v="2"/>
    <d v="2024-10-29T00:00:00"/>
    <x v="1"/>
    <x v="2"/>
    <x v="0"/>
    <x v="1"/>
    <x v="1"/>
    <x v="0"/>
    <n v="20"/>
    <n v="10"/>
    <n v="20"/>
  </r>
  <r>
    <n v="3478"/>
    <s v="João Pereira"/>
    <x v="1"/>
    <d v="2024-10-30T00:00:00"/>
    <x v="0"/>
    <x v="1"/>
    <x v="1"/>
    <x v="1"/>
    <x v="1"/>
    <x v="1"/>
    <n v="0"/>
    <n v="0"/>
    <n v="5"/>
  </r>
  <r>
    <n v="3479"/>
    <s v="Klara Silva"/>
    <x v="0"/>
    <d v="2024-10-31T00:00:00"/>
    <x v="1"/>
    <x v="0"/>
    <x v="0"/>
    <x v="0"/>
    <x v="0"/>
    <x v="0"/>
    <n v="20"/>
    <n v="20"/>
    <n v="45"/>
  </r>
  <r>
    <n v="3480"/>
    <s v="Luciana Barros"/>
    <x v="2"/>
    <d v="2024-11-01T00:00:00"/>
    <x v="0"/>
    <x v="2"/>
    <x v="2"/>
    <x v="1"/>
    <x v="1"/>
    <x v="0"/>
    <n v="20"/>
    <n v="15"/>
    <n v="15"/>
  </r>
  <r>
    <n v="3481"/>
    <s v="Marcos Gomes"/>
    <x v="1"/>
    <d v="2024-11-02T00:00:00"/>
    <x v="1"/>
    <x v="1"/>
    <x v="0"/>
    <x v="1"/>
    <x v="1"/>
    <x v="1"/>
    <n v="0"/>
    <n v="1"/>
    <n v="4"/>
  </r>
  <r>
    <n v="3482"/>
    <s v="Natália Soares"/>
    <x v="0"/>
    <d v="2024-11-03T00:00:00"/>
    <x v="0"/>
    <x v="0"/>
    <x v="1"/>
    <x v="0"/>
    <x v="0"/>
    <x v="0"/>
    <n v="20"/>
    <n v="3"/>
    <n v="62"/>
  </r>
  <r>
    <n v="3483"/>
    <s v="Oscar Machado"/>
    <x v="2"/>
    <d v="2024-11-04T00:00:00"/>
    <x v="1"/>
    <x v="2"/>
    <x v="0"/>
    <x v="1"/>
    <x v="1"/>
    <x v="0"/>
    <n v="20"/>
    <n v="10"/>
    <n v="20"/>
  </r>
  <r>
    <n v="3484"/>
    <s v="Patrícia Lima"/>
    <x v="1"/>
    <d v="2024-11-05T00:00:00"/>
    <x v="0"/>
    <x v="1"/>
    <x v="2"/>
    <x v="1"/>
    <x v="1"/>
    <x v="1"/>
    <n v="0"/>
    <n v="0"/>
    <n v="5"/>
  </r>
  <r>
    <n v="3485"/>
    <s v="Quirino Neto"/>
    <x v="0"/>
    <d v="2024-11-06T00:00:00"/>
    <x v="1"/>
    <x v="0"/>
    <x v="0"/>
    <x v="0"/>
    <x v="0"/>
    <x v="0"/>
    <n v="20"/>
    <n v="15"/>
    <n v="50"/>
  </r>
  <r>
    <n v="3486"/>
    <s v="Rafaela Souza"/>
    <x v="1"/>
    <d v="2024-11-07T00:00:00"/>
    <x v="0"/>
    <x v="1"/>
    <x v="0"/>
    <x v="1"/>
    <x v="1"/>
    <x v="1"/>
    <n v="0"/>
    <n v="0"/>
    <n v="5"/>
  </r>
  <r>
    <n v="3487"/>
    <s v="Sandro Almeida"/>
    <x v="0"/>
    <d v="2024-11-08T00:00:00"/>
    <x v="1"/>
    <x v="0"/>
    <x v="2"/>
    <x v="0"/>
    <x v="0"/>
    <x v="0"/>
    <n v="20"/>
    <n v="7"/>
    <n v="58"/>
  </r>
  <r>
    <n v="3488"/>
    <s v="Tânia Ribeiro"/>
    <x v="2"/>
    <d v="2024-11-09T00:00:00"/>
    <x v="0"/>
    <x v="2"/>
    <x v="1"/>
    <x v="1"/>
    <x v="1"/>
    <x v="0"/>
    <n v="20"/>
    <n v="10"/>
    <n v="20"/>
  </r>
  <r>
    <n v="3489"/>
    <s v="Ugo Dias"/>
    <x v="1"/>
    <d v="2024-11-10T00:00:00"/>
    <x v="1"/>
    <x v="1"/>
    <x v="2"/>
    <x v="1"/>
    <x v="1"/>
    <x v="1"/>
    <n v="0"/>
    <n v="1"/>
    <n v="4"/>
  </r>
  <r>
    <n v="3490"/>
    <s v="Valéria Lima"/>
    <x v="0"/>
    <d v="2024-11-11T00:00:00"/>
    <x v="0"/>
    <x v="0"/>
    <x v="0"/>
    <x v="0"/>
    <x v="0"/>
    <x v="0"/>
    <n v="20"/>
    <n v="15"/>
    <n v="50"/>
  </r>
  <r>
    <n v="3491"/>
    <s v="William Fernandes"/>
    <x v="2"/>
    <d v="2024-11-12T00:00:00"/>
    <x v="1"/>
    <x v="2"/>
    <x v="0"/>
    <x v="1"/>
    <x v="1"/>
    <x v="0"/>
    <n v="20"/>
    <n v="5"/>
    <n v="25"/>
  </r>
  <r>
    <n v="3492"/>
    <s v="Xuxa Mendes"/>
    <x v="1"/>
    <d v="2024-11-13T00:00:00"/>
    <x v="0"/>
    <x v="1"/>
    <x v="1"/>
    <x v="1"/>
    <x v="1"/>
    <x v="1"/>
    <n v="0"/>
    <n v="0"/>
    <n v="5"/>
  </r>
  <r>
    <n v="3493"/>
    <s v="Ygor Farias"/>
    <x v="0"/>
    <d v="2024-11-14T00:00:00"/>
    <x v="1"/>
    <x v="0"/>
    <x v="2"/>
    <x v="0"/>
    <x v="0"/>
    <x v="0"/>
    <n v="20"/>
    <n v="20"/>
    <n v="45"/>
  </r>
  <r>
    <n v="3494"/>
    <s v="Zilda Barros"/>
    <x v="2"/>
    <d v="2024-11-15T00:00:00"/>
    <x v="0"/>
    <x v="2"/>
    <x v="2"/>
    <x v="1"/>
    <x v="1"/>
    <x v="0"/>
    <n v="20"/>
    <n v="12"/>
    <n v="18"/>
  </r>
  <r>
    <n v="3495"/>
    <s v="Amanda Santos"/>
    <x v="1"/>
    <d v="2024-11-16T00:00:00"/>
    <x v="1"/>
    <x v="1"/>
    <x v="0"/>
    <x v="1"/>
    <x v="1"/>
    <x v="1"/>
    <n v="0"/>
    <n v="2"/>
    <n v="3"/>
  </r>
  <r>
    <n v="3496"/>
    <s v="Bruno Costa"/>
    <x v="0"/>
    <d v="2024-11-17T00:00:00"/>
    <x v="0"/>
    <x v="0"/>
    <x v="1"/>
    <x v="0"/>
    <x v="0"/>
    <x v="0"/>
    <n v="20"/>
    <n v="5"/>
    <n v="60"/>
  </r>
  <r>
    <n v="3497"/>
    <s v="Carla Rodrigues"/>
    <x v="2"/>
    <d v="2024-11-18T00:00:00"/>
    <x v="1"/>
    <x v="2"/>
    <x v="0"/>
    <x v="1"/>
    <x v="1"/>
    <x v="0"/>
    <n v="20"/>
    <n v="10"/>
    <n v="20"/>
  </r>
  <r>
    <n v="3498"/>
    <s v="Diogo Pereira"/>
    <x v="1"/>
    <d v="2024-11-19T00:00:00"/>
    <x v="0"/>
    <x v="1"/>
    <x v="2"/>
    <x v="1"/>
    <x v="1"/>
    <x v="1"/>
    <n v="0"/>
    <n v="0"/>
    <n v="5"/>
  </r>
  <r>
    <n v="3499"/>
    <s v="Elisa Correia"/>
    <x v="0"/>
    <d v="2024-11-20T00:00:00"/>
    <x v="1"/>
    <x v="0"/>
    <x v="0"/>
    <x v="0"/>
    <x v="0"/>
    <x v="0"/>
    <n v="20"/>
    <n v="3"/>
    <n v="62"/>
  </r>
  <r>
    <n v="3500"/>
    <s v="Fábio Lourenço"/>
    <x v="2"/>
    <d v="2024-11-21T00:00:00"/>
    <x v="0"/>
    <x v="2"/>
    <x v="1"/>
    <x v="1"/>
    <x v="1"/>
    <x v="0"/>
    <n v="20"/>
    <n v="15"/>
    <n v="15"/>
  </r>
  <r>
    <n v="3501"/>
    <s v="Gabriela Neves"/>
    <x v="1"/>
    <d v="2024-11-22T00:00:00"/>
    <x v="1"/>
    <x v="1"/>
    <x v="0"/>
    <x v="1"/>
    <x v="1"/>
    <x v="1"/>
    <n v="0"/>
    <n v="1"/>
    <n v="4"/>
  </r>
  <r>
    <n v="3502"/>
    <s v="Henrique Gonçalves"/>
    <x v="0"/>
    <d v="2024-11-23T00:00:00"/>
    <x v="0"/>
    <x v="0"/>
    <x v="2"/>
    <x v="0"/>
    <x v="0"/>
    <x v="0"/>
    <n v="20"/>
    <n v="7"/>
    <n v="58"/>
  </r>
  <r>
    <n v="3503"/>
    <s v="Íris Santos"/>
    <x v="2"/>
    <d v="2024-11-24T00:00:00"/>
    <x v="1"/>
    <x v="2"/>
    <x v="0"/>
    <x v="1"/>
    <x v="1"/>
    <x v="0"/>
    <n v="20"/>
    <n v="10"/>
    <n v="20"/>
  </r>
  <r>
    <n v="3504"/>
    <s v="João Marcelo Alves"/>
    <x v="1"/>
    <d v="2024-11-25T00:00:00"/>
    <x v="0"/>
    <x v="1"/>
    <x v="1"/>
    <x v="1"/>
    <x v="1"/>
    <x v="1"/>
    <n v="0"/>
    <n v="0"/>
    <n v="5"/>
  </r>
  <r>
    <n v="3505"/>
    <s v="Klara Fonseca"/>
    <x v="0"/>
    <d v="2024-11-26T00:00:00"/>
    <x v="1"/>
    <x v="0"/>
    <x v="0"/>
    <x v="0"/>
    <x v="0"/>
    <x v="0"/>
    <n v="20"/>
    <n v="20"/>
    <n v="45"/>
  </r>
  <r>
    <n v="3506"/>
    <s v="Lucas Mendonça"/>
    <x v="2"/>
    <d v="2024-11-27T00:00:00"/>
    <x v="0"/>
    <x v="2"/>
    <x v="2"/>
    <x v="1"/>
    <x v="1"/>
    <x v="0"/>
    <n v="20"/>
    <n v="15"/>
    <n v="15"/>
  </r>
  <r>
    <n v="3507"/>
    <s v="Marcela Torres"/>
    <x v="1"/>
    <d v="2024-11-28T00:00:00"/>
    <x v="1"/>
    <x v="1"/>
    <x v="0"/>
    <x v="1"/>
    <x v="1"/>
    <x v="1"/>
    <n v="0"/>
    <n v="1"/>
    <n v="4"/>
  </r>
  <r>
    <n v="3508"/>
    <s v="Natália Castro"/>
    <x v="0"/>
    <d v="2024-11-29T00:00:00"/>
    <x v="0"/>
    <x v="0"/>
    <x v="1"/>
    <x v="0"/>
    <x v="0"/>
    <x v="0"/>
    <n v="20"/>
    <n v="3"/>
    <n v="62"/>
  </r>
  <r>
    <n v="3509"/>
    <s v="Oscar Martins"/>
    <x v="2"/>
    <d v="2024-11-30T00:00:00"/>
    <x v="1"/>
    <x v="2"/>
    <x v="0"/>
    <x v="1"/>
    <x v="1"/>
    <x v="0"/>
    <n v="20"/>
    <n v="10"/>
    <n v="20"/>
  </r>
  <r>
    <n v="3510"/>
    <s v="Patrícia Oliveira"/>
    <x v="1"/>
    <d v="2024-12-01T00:00:00"/>
    <x v="0"/>
    <x v="1"/>
    <x v="2"/>
    <x v="1"/>
    <x v="1"/>
    <x v="1"/>
    <n v="0"/>
    <n v="0"/>
    <n v="5"/>
  </r>
  <r>
    <n v="3511"/>
    <s v="Quentin Nogueira"/>
    <x v="0"/>
    <d v="2024-12-02T00:00:00"/>
    <x v="1"/>
    <x v="0"/>
    <x v="0"/>
    <x v="0"/>
    <x v="0"/>
    <x v="0"/>
    <n v="20"/>
    <n v="15"/>
    <n v="50"/>
  </r>
  <r>
    <n v="3512"/>
    <s v="Raquel Silva"/>
    <x v="2"/>
    <d v="2024-12-03T00:00:00"/>
    <x v="0"/>
    <x v="2"/>
    <x v="1"/>
    <x v="1"/>
    <x v="1"/>
    <x v="0"/>
    <n v="20"/>
    <n v="15"/>
    <n v="15"/>
  </r>
  <r>
    <n v="3513"/>
    <s v="Sandro Gomes"/>
    <x v="1"/>
    <d v="2024-12-04T00:00:00"/>
    <x v="1"/>
    <x v="1"/>
    <x v="0"/>
    <x v="1"/>
    <x v="1"/>
    <x v="1"/>
    <n v="0"/>
    <n v="1"/>
    <n v="4"/>
  </r>
  <r>
    <n v="3514"/>
    <s v="Tânia Machado"/>
    <x v="0"/>
    <d v="2024-12-05T00:00:00"/>
    <x v="0"/>
    <x v="0"/>
    <x v="2"/>
    <x v="0"/>
    <x v="0"/>
    <x v="0"/>
    <n v="20"/>
    <n v="7"/>
    <n v="58"/>
  </r>
  <r>
    <n v="3515"/>
    <s v="Ursula Silva"/>
    <x v="2"/>
    <d v="2024-12-06T00:00:00"/>
    <x v="1"/>
    <x v="2"/>
    <x v="0"/>
    <x v="1"/>
    <x v="1"/>
    <x v="0"/>
    <n v="20"/>
    <n v="10"/>
    <n v="20"/>
  </r>
  <r>
    <n v="3516"/>
    <s v="Vanessa Moraes"/>
    <x v="1"/>
    <d v="2024-12-07T00:00:00"/>
    <x v="0"/>
    <x v="1"/>
    <x v="1"/>
    <x v="1"/>
    <x v="1"/>
    <x v="1"/>
    <n v="0"/>
    <n v="0"/>
    <n v="5"/>
  </r>
  <r>
    <n v="3517"/>
    <s v="William Carvalho"/>
    <x v="0"/>
    <d v="2024-12-08T00:00:00"/>
    <x v="1"/>
    <x v="0"/>
    <x v="0"/>
    <x v="0"/>
    <x v="0"/>
    <x v="0"/>
    <n v="20"/>
    <n v="20"/>
    <n v="45"/>
  </r>
  <r>
    <n v="3518"/>
    <s v="Xavier Reis"/>
    <x v="2"/>
    <d v="2024-12-09T00:00:00"/>
    <x v="0"/>
    <x v="2"/>
    <x v="2"/>
    <x v="1"/>
    <x v="1"/>
    <x v="0"/>
    <n v="20"/>
    <n v="12"/>
    <n v="18"/>
  </r>
  <r>
    <n v="3519"/>
    <s v="Yasmin Rocha"/>
    <x v="1"/>
    <d v="2024-12-10T00:00:00"/>
    <x v="1"/>
    <x v="1"/>
    <x v="0"/>
    <x v="1"/>
    <x v="1"/>
    <x v="1"/>
    <n v="0"/>
    <n v="2"/>
    <n v="3"/>
  </r>
  <r>
    <n v="3520"/>
    <s v="Zacarias Duarte"/>
    <x v="0"/>
    <d v="2024-12-11T00:00:00"/>
    <x v="0"/>
    <x v="0"/>
    <x v="1"/>
    <x v="0"/>
    <x v="0"/>
    <x v="0"/>
    <n v="20"/>
    <n v="5"/>
    <n v="60"/>
  </r>
  <r>
    <n v="3521"/>
    <s v="Amanda Freitas"/>
    <x v="2"/>
    <d v="2024-12-12T00:00:00"/>
    <x v="1"/>
    <x v="2"/>
    <x v="0"/>
    <x v="1"/>
    <x v="1"/>
    <x v="0"/>
    <n v="20"/>
    <n v="10"/>
    <n v="20"/>
  </r>
  <r>
    <n v="3522"/>
    <s v="Bruno Almeida"/>
    <x v="1"/>
    <d v="2024-12-13T00:00:00"/>
    <x v="0"/>
    <x v="1"/>
    <x v="2"/>
    <x v="1"/>
    <x v="1"/>
    <x v="1"/>
    <n v="0"/>
    <n v="0"/>
    <n v="5"/>
  </r>
  <r>
    <n v="3523"/>
    <s v="Carla Siqueira"/>
    <x v="0"/>
    <d v="2024-12-14T00:00:00"/>
    <x v="1"/>
    <x v="0"/>
    <x v="0"/>
    <x v="0"/>
    <x v="0"/>
    <x v="0"/>
    <n v="20"/>
    <n v="3"/>
    <n v="62"/>
  </r>
  <r>
    <n v="3524"/>
    <s v="Diogo Ramos"/>
    <x v="2"/>
    <d v="2024-12-15T00:00:00"/>
    <x v="0"/>
    <x v="2"/>
    <x v="1"/>
    <x v="1"/>
    <x v="1"/>
    <x v="0"/>
    <n v="20"/>
    <n v="15"/>
    <n v="15"/>
  </r>
  <r>
    <n v="3525"/>
    <s v="Elisa Magalhães"/>
    <x v="1"/>
    <d v="2024-12-16T00:00:00"/>
    <x v="1"/>
    <x v="1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3F4FE-4DC0-4AFD-B2D6-95BC3C8B6E52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0:C13" firstHeaderRow="1" firstDataRow="1" firstDataCol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40CC6B-3739-4F36-82B5-034786423B91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7:C31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D8835-72DF-429A-A38D-ED5324A2936B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18:C2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0" baseItem="0" numFmtId="4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15C0BE4-A39E-4C71-9DA6-B814962F3874}" sourceName="Subscription Type">
  <pivotTables>
    <pivotTable tabId="3" name="tbl_annual_total"/>
    <pivotTable tabId="3" name="tbl_easeasonpass_total"/>
    <pivotTable tabId="3" name="Tabela dinâmica3"/>
  </pivotTables>
  <data>
    <tabular pivotCacheId="748878088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3B9775B-31C2-4B7B-8C83-86A34F305EF5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21" zoomScaleNormal="100" workbookViewId="0">
      <selection activeCell="C23" sqref="C23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showRowColHeaders="0" zoomScale="90" zoomScaleNormal="90" workbookViewId="0">
      <selection activeCell="C23" sqref="C23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1"/>
  <sheetViews>
    <sheetView showGridLines="0" showRowColHeaders="0" tabSelected="1" workbookViewId="0">
      <selection activeCell="G16" sqref="G1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ht="21" customHeight="1" x14ac:dyDescent="0.25">
      <c r="B3" s="20" t="s">
        <v>324</v>
      </c>
      <c r="C3" s="20"/>
      <c r="D3" s="20"/>
      <c r="E3" s="20"/>
      <c r="F3" s="20"/>
    </row>
    <row r="4" spans="2:6" x14ac:dyDescent="0.25">
      <c r="B4" s="19" t="s">
        <v>320</v>
      </c>
      <c r="C4" s="19"/>
      <c r="D4" s="19"/>
      <c r="E4" s="19"/>
      <c r="F4" s="19"/>
    </row>
    <row r="5" spans="2:6" x14ac:dyDescent="0.25">
      <c r="B5" s="19" t="s">
        <v>321</v>
      </c>
      <c r="C5" s="19"/>
      <c r="D5" s="19"/>
      <c r="E5" s="19"/>
      <c r="F5" s="19"/>
    </row>
    <row r="6" spans="2:6" x14ac:dyDescent="0.25">
      <c r="B6" s="19" t="s">
        <v>322</v>
      </c>
      <c r="C6" s="19"/>
      <c r="D6" s="19"/>
      <c r="E6" s="19"/>
      <c r="F6" s="19"/>
    </row>
    <row r="7" spans="2:6" x14ac:dyDescent="0.25">
      <c r="B7" s="19" t="s">
        <v>323</v>
      </c>
      <c r="C7" s="19"/>
      <c r="D7" s="19"/>
      <c r="E7" s="19"/>
      <c r="F7" s="19"/>
    </row>
    <row r="10" spans="2:6" x14ac:dyDescent="0.25">
      <c r="B10" s="12" t="s">
        <v>313</v>
      </c>
      <c r="C10" t="s">
        <v>315</v>
      </c>
    </row>
    <row r="11" spans="2:6" x14ac:dyDescent="0.25">
      <c r="B11" s="13" t="s">
        <v>23</v>
      </c>
      <c r="C11" s="14">
        <v>217</v>
      </c>
    </row>
    <row r="12" spans="2:6" x14ac:dyDescent="0.25">
      <c r="B12" s="13" t="s">
        <v>19</v>
      </c>
      <c r="C12" s="14">
        <v>1537</v>
      </c>
    </row>
    <row r="13" spans="2:6" x14ac:dyDescent="0.25">
      <c r="B13" s="13" t="s">
        <v>314</v>
      </c>
      <c r="C13" s="14">
        <v>1754</v>
      </c>
    </row>
    <row r="16" spans="2:6" x14ac:dyDescent="0.25">
      <c r="B16" s="12" t="s">
        <v>16</v>
      </c>
      <c r="C16" t="s">
        <v>24</v>
      </c>
    </row>
    <row r="18" spans="2:4" x14ac:dyDescent="0.25">
      <c r="B18" s="12" t="s">
        <v>313</v>
      </c>
      <c r="C18" t="s">
        <v>317</v>
      </c>
    </row>
    <row r="19" spans="2:4" x14ac:dyDescent="0.25">
      <c r="B19" s="13" t="s">
        <v>22</v>
      </c>
      <c r="C19" s="14">
        <v>0</v>
      </c>
    </row>
    <row r="20" spans="2:4" x14ac:dyDescent="0.25">
      <c r="B20" s="13" t="s">
        <v>26</v>
      </c>
      <c r="C20" s="14">
        <v>0</v>
      </c>
    </row>
    <row r="21" spans="2:4" x14ac:dyDescent="0.25">
      <c r="B21" s="13" t="s">
        <v>18</v>
      </c>
      <c r="C21" s="14">
        <v>600</v>
      </c>
    </row>
    <row r="22" spans="2:4" x14ac:dyDescent="0.25">
      <c r="B22" s="13" t="s">
        <v>314</v>
      </c>
      <c r="C22" s="14">
        <v>600</v>
      </c>
      <c r="D22" s="16">
        <f>GETPIVOTDATA("EA Play Season Pass
Price",$B$18)</f>
        <v>600</v>
      </c>
    </row>
    <row r="25" spans="2:4" x14ac:dyDescent="0.25">
      <c r="B25" s="12" t="s">
        <v>16</v>
      </c>
      <c r="C25" t="s">
        <v>24</v>
      </c>
    </row>
    <row r="27" spans="2:4" x14ac:dyDescent="0.25">
      <c r="B27" s="12" t="s">
        <v>313</v>
      </c>
      <c r="C27" t="s">
        <v>318</v>
      </c>
    </row>
    <row r="28" spans="2:4" x14ac:dyDescent="0.25">
      <c r="B28" s="13" t="s">
        <v>22</v>
      </c>
      <c r="C28" s="14">
        <v>0</v>
      </c>
    </row>
    <row r="29" spans="2:4" x14ac:dyDescent="0.25">
      <c r="B29" s="13" t="s">
        <v>26</v>
      </c>
      <c r="C29" s="14">
        <v>540</v>
      </c>
    </row>
    <row r="30" spans="2:4" x14ac:dyDescent="0.25">
      <c r="B30" s="13" t="s">
        <v>18</v>
      </c>
      <c r="C30" s="14">
        <v>400</v>
      </c>
    </row>
    <row r="31" spans="2:4" x14ac:dyDescent="0.25">
      <c r="B31" s="13" t="s">
        <v>314</v>
      </c>
      <c r="C31" s="14">
        <v>940</v>
      </c>
      <c r="D31" s="16">
        <f>GETPIVOTDATA("Minecraft Season Pass Price",$B$27)</f>
        <v>940</v>
      </c>
    </row>
  </sheetData>
  <mergeCells count="5">
    <mergeCell ref="B4:F4"/>
    <mergeCell ref="B5:F5"/>
    <mergeCell ref="B6:F6"/>
    <mergeCell ref="B7:F7"/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Z300"/>
  <sheetViews>
    <sheetView showGridLines="0" showRowColHeaders="0" zoomScale="85" zoomScaleNormal="85" workbookViewId="0">
      <selection activeCell="K5" sqref="K5"/>
    </sheetView>
  </sheetViews>
  <sheetFormatPr defaultRowHeight="15" x14ac:dyDescent="0.25"/>
  <cols>
    <col min="1" max="1" width="34" style="4" customWidth="1"/>
    <col min="2" max="2" width="5" customWidth="1"/>
    <col min="3" max="3" width="21.85546875" bestFit="1" customWidth="1"/>
    <col min="12" max="12" width="6.5703125" customWidth="1"/>
    <col min="19" max="19" width="9.140625" customWidth="1"/>
    <col min="20" max="20" width="7" customWidth="1"/>
  </cols>
  <sheetData>
    <row r="1" spans="2:26" ht="32.25" customHeight="1" x14ac:dyDescent="0.25"/>
    <row r="2" spans="2:26" ht="21.75" customHeight="1" thickBot="1" x14ac:dyDescent="0.3">
      <c r="C2" s="17" t="s">
        <v>316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5"/>
      <c r="T2" s="15"/>
    </row>
    <row r="3" spans="2:26" ht="23.25" customHeight="1" thickTop="1" x14ac:dyDescent="0.25"/>
    <row r="4" spans="2:26" ht="18" customHeight="1" x14ac:dyDescent="0.2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2:26" ht="24" customHeight="1" x14ac:dyDescent="0.25">
      <c r="B5" s="7"/>
      <c r="C5" s="18" t="s">
        <v>319</v>
      </c>
      <c r="D5" s="18"/>
      <c r="E5" s="18"/>
      <c r="F5" s="18"/>
      <c r="G5" s="18"/>
      <c r="H5" s="18"/>
      <c r="I5" s="18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2:26" ht="9.7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2:26" ht="33" customHeight="1" x14ac:dyDescent="0.25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2:26" x14ac:dyDescent="0.2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2:26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2:26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2:26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2:26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2:26" x14ac:dyDescent="0.2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2:26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2:26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2:26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2:26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2:26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2:26" x14ac:dyDescent="0.2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2:26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2:26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2:26" x14ac:dyDescent="0.2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2:26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2:26" x14ac:dyDescent="0.2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2:26" x14ac:dyDescent="0.2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2:26" x14ac:dyDescent="0.2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2:26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2:26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2:26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2:26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2:26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2:26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2:26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2:26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2:26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2:26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2:26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2:26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2:26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2:26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2:26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2:26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2:26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2:26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2:26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2:26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2:26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 x14ac:dyDescent="0.2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 x14ac:dyDescent="0.2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 x14ac:dyDescent="0.2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 x14ac:dyDescent="0.2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 x14ac:dyDescent="0.2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 x14ac:dyDescent="0.2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 x14ac:dyDescent="0.2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2:26" x14ac:dyDescent="0.2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 x14ac:dyDescent="0.2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2:26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2:26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2:26" x14ac:dyDescent="0.2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2:26" x14ac:dyDescent="0.2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2:26" x14ac:dyDescent="0.2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2:26" x14ac:dyDescent="0.2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2:26" x14ac:dyDescent="0.2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2:26" x14ac:dyDescent="0.2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2:26" x14ac:dyDescent="0.2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2:26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2:26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2:26" x14ac:dyDescent="0.2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2:26" x14ac:dyDescent="0.2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2:26" x14ac:dyDescent="0.2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2:26" x14ac:dyDescent="0.2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2:26" x14ac:dyDescent="0.2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2:26" x14ac:dyDescent="0.2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2:26" x14ac:dyDescent="0.2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2:26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2:26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2:26" x14ac:dyDescent="0.2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2:26" x14ac:dyDescent="0.2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2:26" x14ac:dyDescent="0.2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2:26" x14ac:dyDescent="0.2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2:26" x14ac:dyDescent="0.2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2:26" x14ac:dyDescent="0.2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2:26" x14ac:dyDescent="0.2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2:26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2:26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2:26" x14ac:dyDescent="0.2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2:26" x14ac:dyDescent="0.2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2:26" x14ac:dyDescent="0.2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2:26" x14ac:dyDescent="0.2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2:26" x14ac:dyDescent="0.2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2:26" x14ac:dyDescent="0.2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2:26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2:26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2:26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2:26" x14ac:dyDescent="0.2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2:26" x14ac:dyDescent="0.2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2:26" x14ac:dyDescent="0.2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2:26" x14ac:dyDescent="0.2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2:26" x14ac:dyDescent="0.2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2:26" x14ac:dyDescent="0.2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2:26" x14ac:dyDescent="0.2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2:26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2:26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2:26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2:26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2:26" x14ac:dyDescent="0.2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2:26" x14ac:dyDescent="0.2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2:26" x14ac:dyDescent="0.2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2:26" x14ac:dyDescent="0.2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2:26" x14ac:dyDescent="0.2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2:26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2:26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2:26" x14ac:dyDescent="0.2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2:26" x14ac:dyDescent="0.2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2:26" x14ac:dyDescent="0.2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2:26" x14ac:dyDescent="0.2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2:26" x14ac:dyDescent="0.2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2:26" x14ac:dyDescent="0.2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2:26" x14ac:dyDescent="0.2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2:26" x14ac:dyDescent="0.2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2:26" x14ac:dyDescent="0.2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2:26" x14ac:dyDescent="0.2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2:26" x14ac:dyDescent="0.2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2:26" x14ac:dyDescent="0.2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2:26" x14ac:dyDescent="0.2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2:26" x14ac:dyDescent="0.2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2:26" x14ac:dyDescent="0.2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2:26" x14ac:dyDescent="0.2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2:26" x14ac:dyDescent="0.2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2:26" x14ac:dyDescent="0.2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2:26" x14ac:dyDescent="0.2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2:26" x14ac:dyDescent="0.2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2:26" x14ac:dyDescent="0.2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2:26" x14ac:dyDescent="0.2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2:26" x14ac:dyDescent="0.2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2:26" x14ac:dyDescent="0.2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2:26" x14ac:dyDescent="0.2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2:26" x14ac:dyDescent="0.2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2:26" x14ac:dyDescent="0.2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2:26" x14ac:dyDescent="0.2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2:26" x14ac:dyDescent="0.25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2:26" x14ac:dyDescent="0.25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2:26" x14ac:dyDescent="0.25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2:26" x14ac:dyDescent="0.25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2:26" x14ac:dyDescent="0.25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2:26" x14ac:dyDescent="0.25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2:26" x14ac:dyDescent="0.25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2:26" x14ac:dyDescent="0.25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2:26" x14ac:dyDescent="0.25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2:26" x14ac:dyDescent="0.25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2:26" x14ac:dyDescent="0.25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2:26" x14ac:dyDescent="0.25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2:26" x14ac:dyDescent="0.25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2:26" x14ac:dyDescent="0.25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2:26" x14ac:dyDescent="0.25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2:26" x14ac:dyDescent="0.25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2:26" x14ac:dyDescent="0.25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2:26" x14ac:dyDescent="0.25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2:26" x14ac:dyDescent="0.25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2:26" x14ac:dyDescent="0.25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2:26" x14ac:dyDescent="0.25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2:26" x14ac:dyDescent="0.25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2:26" x14ac:dyDescent="0.25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2:26" x14ac:dyDescent="0.25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2:26" x14ac:dyDescent="0.25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2:26" x14ac:dyDescent="0.25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2:26" x14ac:dyDescent="0.25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2:26" x14ac:dyDescent="0.25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2:26" x14ac:dyDescent="0.25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2:26" x14ac:dyDescent="0.25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2:26" x14ac:dyDescent="0.25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2:26" x14ac:dyDescent="0.25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2:26" x14ac:dyDescent="0.25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2:26" x14ac:dyDescent="0.25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2:26" x14ac:dyDescent="0.25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2:26" x14ac:dyDescent="0.25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2:26" x14ac:dyDescent="0.25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2:26" x14ac:dyDescent="0.25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2:26" x14ac:dyDescent="0.25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2:26" x14ac:dyDescent="0.25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2:26" x14ac:dyDescent="0.25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2:26" x14ac:dyDescent="0.25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2:26" x14ac:dyDescent="0.25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2:26" x14ac:dyDescent="0.25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2:26" x14ac:dyDescent="0.25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2:26" x14ac:dyDescent="0.25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2:26" x14ac:dyDescent="0.25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2:26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2:26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2:26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2:26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2:26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2:26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2:26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2:26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2:26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2:26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2:26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2:26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2:26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2:26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2:26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2:26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2:26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2:26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2:26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2:26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2:26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2:26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2:26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2:26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2:26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2:26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2:26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2:26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2:26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2:26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2:26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2:26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2:26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2:26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2:26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2:26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2:26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2:26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2:26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2:26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2:26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2:26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2:26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2:26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2:26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2:26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2:26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2:26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2:26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2:26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2:26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2:26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2:26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2:26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2:26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2:26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2:26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2:26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2:26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2:26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2:26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2:26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2:26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2:26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2:26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2:26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2:26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2:26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2:26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2:26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2:26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2:26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2:26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2:26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2:26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2:26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2:26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2:26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2:26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2:26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2:26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2:26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2:26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2:26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2:26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2:26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2:26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2:26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2:26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2:26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2:26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2:26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2:26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2:26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2:26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2:26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2:26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2:26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2:26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2:26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2:26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2:26" x14ac:dyDescent="0.25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</sheetData>
  <mergeCells count="2">
    <mergeCell ref="C2:R2"/>
    <mergeCell ref="C5:I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Ariane Campos Lima</cp:lastModifiedBy>
  <dcterms:created xsi:type="dcterms:W3CDTF">2024-12-19T13:13:10Z</dcterms:created>
  <dcterms:modified xsi:type="dcterms:W3CDTF">2026-10-18T03:57:14Z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